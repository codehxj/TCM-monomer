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733dfafba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 evidence map" sheetId="1" r:id="R08b14a591e5a4b63"/>
    <x:sheet xmlns:r="http://schemas.openxmlformats.org/officeDocument/2006/relationships" name="Classification summary" sheetId="2" r:id="R648feb2e5ae1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9"/>
      <x:name val="Aptos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4"/>
      <x:color rgb="FFFFFFFF"/>
      <x:name val="Aptos"/>
    </x:font>
    <x:font>
      <x:sz val="11"/>
      <x:name val="Aptos"/>
    </x:font>
    <x:font>
      <x:b/>
      <x:sz val="1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F6B4F"/>
      </x:patternFill>
    </x:fill>
  </x:fills>
  <x:borders count="10">
    <x:border/>
    <x:border/>
    <x:border>
      <x:bottom style="thin">
        <x:color rgb="FFDDE9E1"/>
      </x:bottom>
    </x:border>
    <x:border>
      <x:top style="thin">
        <x:color rgb="FFDDE9E1"/>
      </x:top>
      <x:bottom style="thin">
        <x:color rgb="FFDDE9E1"/>
      </x:bottom>
    </x:border>
    <x:border>
      <x:top style="thin">
        <x:color rgb="FFDDE9E1"/>
      </x:top>
      <x:bottom style="thin">
        <x:color rgb="FF9EB3A5"/>
      </x:bottom>
    </x:border>
    <x:border>
      <x:bottom style="thin">
        <x:color rgb="FFDDE9E1"/>
      </x:bottom>
    </x:border>
    <x:border>
      <x:top style="thin">
        <x:color rgb="FFDDE9E1"/>
      </x:top>
      <x:bottom style="thin">
        <x:color rgb="FFDDE9E1"/>
      </x:bottom>
    </x:border>
    <x:border>
      <x:top style="thin">
        <x:color rgb="FFDDE9E1"/>
      </x:top>
      <x:bottom style="thin">
        <x:color rgb="FF9EB3A5"/>
      </x:bottom>
    </x:border>
    <x:border>
      <x:top style="thin">
        <x:color rgb="FF9EB3A5"/>
      </x:top>
      <x:bottom style="thin">
        <x:color rgb="FFDDE9E1"/>
      </x:bottom>
    </x:border>
    <x:border>
      <x:top style="thin">
        <x:color rgb="FF9EB3A5"/>
      </x:top>
      <x:bottom style="thin">
        <x:color rgb="FFDDE9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1" fillId="2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top"/>
    </x:xf>
    <x:xf numFmtId="0" fontId="2" fillId="0" borderId="7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8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3fb2ef2534dd4" /><Relationship Type="http://schemas.openxmlformats.org/officeDocument/2006/relationships/theme" Target="/xl/theme/theme1.xml" Id="Recc4c11b5a094038" /><Relationship Type="http://schemas.openxmlformats.org/officeDocument/2006/relationships/sharedStrings" Target="/xl/sharedStrings.xml" Id="Re30b7a9359294555" /><Relationship Type="http://schemas.openxmlformats.org/officeDocument/2006/relationships/worksheet" Target="/xl/worksheets/sheet1.xml" Id="R08b14a591e5a4b63" /><Relationship Type="http://schemas.openxmlformats.org/officeDocument/2006/relationships/worksheet" Target="/xl/worksheets/sheet2.xml" Id="R648feb2e5ae147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32.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  <x:col min="18" max="18" width="18.1299991607666" hidden="0" customWidth="1"/>
    <x:col min="19" max="19" width="18.1299991607666" hidden="0" customWidth="1"/>
    <x:col min="20" max="20" width="18.1299991607666" hidden="0" customWidth="1"/>
    <x:col min="21" max="21" width="22.5" hidden="0" customWidth="1"/>
    <x:col min="22" max="22" width="22.5" hidden="0" customWidth="1"/>
    <x:col min="23" max="23" width="22.5" hidden="0" customWidth="1"/>
    <x:col min="24" max="24" width="22.5" hidden="0" customWidth="1"/>
    <x:col min="25" max="25" width="22.5" hidden="0" customWidth="1"/>
    <x:col min="26" max="26" width="22.5" hidden="0" customWidth="1"/>
    <x:col min="27" max="27" width="22.5" hidden="0" customWidth="1"/>
    <x:col min="28" max="28" width="22.5" hidden="0" customWidth="1"/>
    <x:col min="29" max="29" width="22.5" hidden="0" customWidth="1"/>
  </x:cols>
  <x:sheetData>
    <x:row r="1" ht="28.5" customHeight="1">
      <x:c r="A1" s="14" t="str">
        <x:v>﻿PMID</x:v>
      </x:c>
      <x:c r="B1" s="14" t="str">
        <x:v>BibTeX key</x:v>
      </x:c>
      <x:c r="C1" s="14" t="str">
        <x:v>Monomer(s) mapped in source table</x:v>
      </x:c>
      <x:c r="D1" s="14" t="str">
        <x:v>Class(es)</x:v>
      </x:c>
      <x:c r="E1" s="14" t="str">
        <x:v>Bibliographic title</x:v>
      </x:c>
      <x:c r="F1" s="14" t="str">
        <x:v>Primary evidence classification</x:v>
      </x:c>
      <x:c r="G1" s="14" t="str">
        <x:v>Direct isolated monomer experimental evidence</x:v>
      </x:c>
      <x:c r="H1" s="14" t="str">
        <x:v>Animal-validated monomer evidence</x:v>
      </x:c>
      <x:c r="I1" s="14" t="str">
        <x:v>Cell-only monomer evidence</x:v>
      </x:c>
      <x:c r="J1" s="14" t="str">
        <x:v>Combination therapy evidence</x:v>
      </x:c>
      <x:c r="K1" s="14" t="str">
        <x:v>Immune microenvironment evidence</x:v>
      </x:c>
      <x:c r="L1" s="14" t="str">
        <x:v>Ferroptosis/redox evidence</x:v>
      </x:c>
      <x:c r="M1" s="14" t="str">
        <x:v>Formulation/nanodelivery evidence</x:v>
      </x:c>
      <x:c r="N1" s="14" t="str">
        <x:v>Extract/formula/decoction contextual evidence</x:v>
      </x:c>
      <x:c r="O1" s="14" t="str">
        <x:v>Network pharmacology/in silico evidence</x:v>
      </x:c>
      <x:c r="P1" s="14" t="str">
        <x:v>Review/background evidence</x:v>
      </x:c>
      <x:c r="Q1" s="14" t="str">
        <x:v>Models recorded</x:v>
      </x:c>
      <x:c r="R1" s="14" t="str">
        <x:v>Exposure recorded</x:v>
      </x:c>
      <x:c r="S1" s="14" t="str">
        <x:v>Mechanism tags</x:v>
      </x:c>
      <x:c r="T1" s="14" t="str">
        <x:v>Use in review</x:v>
      </x:c>
      <x:c r="U1" s="14" t="str">
        <x:v>Publication year</x:v>
      </x:c>
      <x:c r="V1" s="14" t="str">
        <x:v>PubMed publication date</x:v>
      </x:c>
      <x:c r="W1" s="14" t="str">
        <x:v>Compound name</x:v>
      </x:c>
      <x:c r="X1" s="14" t="str">
        <x:v>Source medicinal material</x:v>
      </x:c>
      <x:c r="Y1" s="14" t="str">
        <x:v>TCM or Chinese materia medica association</x:v>
      </x:c>
      <x:c r="Z1" s="14" t="str">
        <x:v>Type of association</x:v>
      </x:c>
      <x:c r="AA1" s="14" t="str">
        <x:v>Supporting reference</x:v>
      </x:c>
      <x:c r="AB1" s="14" t="str">
        <x:v>Material actually tested</x:v>
      </x:c>
      <x:c r="AC1" s="14" t="str">
        <x:v>Counting unit</x:v>
      </x:c>
    </x:row>
    <x:row r="2">
      <x:c r="A2" s="20" t="str">
        <x:v>23745612</x:v>
      </x:c>
      <x:c r="B2" s="20" t="str">
        <x:v>PMID23745612</x:v>
      </x:c>
      <x:c r="C2" s="20" t="str">
        <x:v>syringic acid</x:v>
      </x:c>
      <x:c r="D2" s="20" t="str">
        <x:v>Phenolic acids</x:v>
      </x:c>
      <x:c r="E2" s="20" t="str">
        <x:v>Syringic acid from Tamarix aucheriana possesses antimitogenic and chemo-sensitizing activities in human colorectal cancer cells.</x:v>
      </x:c>
      <x:c r="F2" s="20" t="str">
        <x:v>Cell-only isolated monomer evidence</x:v>
      </x:c>
      <x:c r="G2" s="20" t="str">
        <x:v>Yes</x:v>
      </x:c>
      <x:c r="H2" s="20" t="str">
        <x:v>No</x:v>
      </x:c>
      <x:c r="I2" s="20" t="str">
        <x:v>Yes</x:v>
      </x:c>
      <x:c r="J2" s="20" t="str">
        <x:v>Yes</x:v>
      </x:c>
      <x:c r="K2" s="20" t="str">
        <x:v>Yes</x:v>
      </x:c>
      <x:c r="L2" s="20" t="str">
        <x:v>No</x:v>
      </x:c>
      <x:c r="M2" s="20" t="str">
        <x:v>No</x:v>
      </x:c>
      <x:c r="N2" s="20" t="str">
        <x:v>No</x:v>
      </x:c>
      <x:c r="O2" s="20" t="str">
        <x:v>No</x:v>
      </x:c>
      <x:c r="P2" s="20" t="str">
        <x:v>No</x:v>
      </x:c>
      <x:c r="Q2" s="20" t="str">
        <x:v>体外细胞实验模型，包括人结直肠癌细胞和正常成纤维细胞。</x:v>
      </x:c>
      <x:c r="R2" s="20" t="str">
        <x:v>not captured in source extraction</x:v>
      </x:c>
      <x:c r="S2" s="20" t="str">
        <x:v>Apoptosis/cell cycle; EMT/ECM/metastasis; Immune microenvironment</x:v>
      </x:c>
      <x:c r="T2" s="20" t="str">
        <x:v>Direct mechanistic evidence requiring in vivo validation.</x:v>
      </x:c>
      <x:c r="U2" s="20" t="str">
        <x:v>2013</x:v>
      </x:c>
      <x:c r="V2" s="20" t="str">
        <x:v>2013/09/01</x:v>
      </x:c>
      <x:c r="W2" s="20" t="str">
        <x:v>syringic acid</x:v>
      </x:c>
      <x:c r="X2" s="20" t="str">
        <x:v>植物 Tamarix aucheriana（阿拉伯传统药用植物）</x:v>
      </x:c>
      <x:c r="Y2" s="20" t="str">
        <x:v>Not established from supplied source field</x:v>
      </x:c>
      <x:c r="Z2" s="20" t="str">
        <x:v>Generic botanical, dietary, computational, or unspecified association</x:v>
      </x:c>
      <x:c r="AA2" s="20" t="str">
        <x:v>PMID 23745612; PMID23745612</x:v>
      </x:c>
      <x:c r="AB2" s="20" t="str">
        <x:v>Purified isolated compound(s): syringic acid</x:v>
      </x:c>
      <x:c r="AC2" s="20" t="str">
        <x:v>One unique PMID-linked reference</x:v>
      </x:c>
    </x:row>
    <x:row r="3">
      <x:c r="A3" s="20" t="str">
        <x:v>30199885</x:v>
      </x:c>
      <x:c r="B3" s="20" t="str">
        <x:v>PMID30199885</x:v>
      </x:c>
      <x:c r="C3" s="20" t="str">
        <x:v>emodin/aloe-emodin</x:v>
      </x:c>
      <x:c r="D3" s="20" t="str">
        <x:v>Anthraquinones</x:v>
      </x:c>
      <x:c r="E3" s="20" t="str">
        <x:v>Aloe-Emodin Induces Endoplasmic Reticulum Stress-Dependent Apoptosis in Colorectal Cancer Cells.</x:v>
      </x:c>
      <x:c r="F3" s="20" t="str">
        <x:v>Cell-only isolated monomer evidence</x:v>
      </x:c>
      <x:c r="G3" s="20" t="str">
        <x:v>Yes</x:v>
      </x:c>
      <x:c r="H3" s="20" t="str">
        <x:v>No</x:v>
      </x:c>
      <x:c r="I3" s="20" t="str">
        <x:v>Yes</x:v>
      </x:c>
      <x:c r="J3" s="20" t="str">
        <x:v>No</x:v>
      </x:c>
      <x:c r="K3" s="20" t="str">
        <x:v>No</x:v>
      </x:c>
      <x:c r="L3" s="20" t="str">
        <x:v>Yes</x:v>
      </x:c>
      <x:c r="M3" s="20" t="str">
        <x:v>No</x:v>
      </x:c>
      <x:c r="N3" s="20" t="str">
        <x:v>No</x:v>
      </x:c>
      <x:c r="O3" s="20" t="str">
        <x:v>No</x:v>
      </x:c>
      <x:c r="P3" s="20" t="str">
        <x:v>No</x:v>
      </x:c>
      <x:c r="Q3" s="20" t="str">
        <x:v>体外：SW620 和 HT29 结直肠癌细胞系；AE 浓度为 10, 20, 40 μM</x:v>
      </x:c>
      <x:c r="R3" s="20" t="str">
        <x:v>Aloe-emodin 10, 20, and 40 µM in SW620 and HT29 cells</x:v>
      </x:c>
      <x:c r="S3" s="20" t="str">
        <x:v>Apoptosis/cell cycle; MAPK/JNK/ERK; ROS/ferroptosis</x:v>
      </x:c>
      <x:c r="T3" s="20" t="str">
        <x:v>Direct mechanistic evidence requiring in vivo validation.</x:v>
      </x:c>
      <x:c r="U3" s="20" t="str">
        <x:v>2018</x:v>
      </x:c>
      <x:c r="V3" s="20" t="str">
        <x:v>2018/09/10</x:v>
      </x:c>
      <x:c r="W3" s="20" t="str">
        <x:v>emodin/aloe-emodin</x:v>
      </x:c>
      <x:c r="X3" s="20" t="str">
        <x:v>芦荟</x:v>
      </x:c>
      <x:c r="Y3" s="20" t="str">
        <x:v>Not established from supplied source field</x:v>
      </x:c>
      <x:c r="Z3" s="20" t="str">
        <x:v>Generic botanical, dietary, computational, or unspecified association</x:v>
      </x:c>
      <x:c r="AA3" s="20" t="str">
        <x:v>PMID 30199885; PMID30199885</x:v>
      </x:c>
      <x:c r="AB3" s="20" t="str">
        <x:v>Purified isolated compound(s): emodin/aloe-emodin</x:v>
      </x:c>
      <x:c r="AC3" s="20" t="str">
        <x:v>One unique PMID-linked reference</x:v>
      </x:c>
    </x:row>
    <x:row r="4">
      <x:c r="A4" s="20" t="str">
        <x:v>31164916</x:v>
      </x:c>
      <x:c r="B4" s="20" t="str">
        <x:v>PMID31164916</x:v>
      </x:c>
      <x:c r="C4" s="20" t="str">
        <x:v>1,4,6-tri-O-galloyl-β-d-glucopyranose</x:v>
      </x:c>
      <x:c r="D4" s="20" t="str">
        <x:v>Hydrolysable tannins</x:v>
      </x:c>
      <x:c r="E4" s="20" t="str">
        <x:v>A tannin compound from Sanguisorba officinalis blocks Wnt/beta-catenin signaling pathway and induces apoptosis of colorectal cancer cells.</x:v>
      </x:c>
      <x:c r="F4" s="20" t="str">
        <x:v>Animal-validated isolated monomer evidence</x:v>
      </x:c>
      <x:c r="G4" s="20" t="str">
        <x:v>Yes</x:v>
      </x:c>
      <x:c r="H4" s="20" t="str">
        <x:v>Yes</x:v>
      </x:c>
      <x:c r="I4" s="20" t="str">
        <x:v>No</x:v>
      </x:c>
      <x:c r="J4" s="20" t="str">
        <x:v>No</x:v>
      </x:c>
      <x:c r="K4" s="20" t="str">
        <x:v>No</x:v>
      </x:c>
      <x:c r="L4" s="20" t="str">
        <x:v>No</x:v>
      </x:c>
      <x:c r="M4" s="20" t="str">
        <x:v>No</x:v>
      </x:c>
      <x:c r="N4" s="20" t="str">
        <x:v>No</x:v>
      </x:c>
      <x:c r="O4" s="20" t="str">
        <x:v>No</x:v>
      </x:c>
      <x:c r="P4" s="20" t="str">
        <x:v>No</x:v>
      </x:c>
      <x:c r="Q4" s="20" t="str">
        <x:v>体外模型：
人结直肠癌细胞系：HCT116、SW480、DLD-1、HT29
正常结肠上皮细胞：NCM460
体内模型：
裸鼠皮下异种移植瘤模型（HCT116细胞接种）</x:v>
      </x:c>
      <x:c r="R4" s="20" t="str">
        <x:v>not captured in source extraction</x:v>
      </x:c>
      <x:c r="S4" s="20" t="str">
        <x:v>Apoptosis/cell cycle; Wnt/beta-catenin/stemness</x:v>
      </x:c>
      <x:c r="T4" s="20" t="str">
        <x:v>High-information direct preclinical evidence.</x:v>
      </x:c>
      <x:c r="U4" s="20" t="str">
        <x:v>2019</x:v>
      </x:c>
      <x:c r="V4" s="20" t="str">
        <x:v>2019/05/31</x:v>
      </x:c>
      <x:c r="W4" s="20" t="str">
        <x:v>1,4,6-tri-O-galloyl-β-d-glucopyranose</x:v>
      </x:c>
      <x:c r="X4" s="20" t="str">
        <x:v>地榆（Sanguisorba officinalis）干燥根茎</x:v>
      </x:c>
      <x:c r="Y4" s="20" t="str">
        <x:v>Not established from supplied source field</x:v>
      </x:c>
      <x:c r="Z4" s="20" t="str">
        <x:v>Generic botanical, dietary, computational, or unspecified association</x:v>
      </x:c>
      <x:c r="AA4" s="20" t="str">
        <x:v>PMID 31164916; PMID31164916</x:v>
      </x:c>
      <x:c r="AB4" s="20" t="str">
        <x:v>Purified isolated compound(s): 1,4,6-tri-O-galloyl-β-d-glucopyranose</x:v>
      </x:c>
      <x:c r="AC4" s="20" t="str">
        <x:v>One unique PMID-linked reference</x:v>
      </x:c>
    </x:row>
    <x:row r="5">
      <x:c r="A5" s="20" t="str">
        <x:v>31180555</x:v>
      </x:c>
      <x:c r="B5" s="20" t="str">
        <x:v>PMID31180555</x:v>
      </x:c>
      <x:c r="C5" s="20" t="str">
        <x:v>Kaempferol</x:v>
      </x:c>
      <x:c r="D5" s="20" t="str">
        <x:v>Flavonoids</x:v>
      </x:c>
      <x:c r="E5" s="20" t="str">
        <x:v>Synergistic effect of kaempferol and 5fluorouracil on the growth of colorectal cancer cells by regulating the PI3K/Akt signaling pathway.</x:v>
      </x:c>
      <x:c r="F5" s="20" t="str">
        <x:v>Cell-only isolated monomer evidence</x:v>
      </x:c>
      <x:c r="G5" s="20" t="str">
        <x:v>Yes</x:v>
      </x:c>
      <x:c r="H5" s="20" t="str">
        <x:v>No</x:v>
      </x:c>
      <x:c r="I5" s="20" t="str">
        <x:v>Yes</x:v>
      </x:c>
      <x:c r="J5" s="20" t="str">
        <x:v>Yes</x:v>
      </x:c>
      <x:c r="K5" s="20" t="str">
        <x:v>No</x:v>
      </x:c>
      <x:c r="L5" s="20" t="str">
        <x:v>No</x:v>
      </x:c>
      <x:c r="M5" s="20" t="str">
        <x:v>No</x:v>
      </x:c>
      <x:c r="N5" s="20" t="str">
        <x:v>No</x:v>
      </x:c>
      <x:c r="O5" s="20" t="str">
        <x:v>No</x:v>
      </x:c>
      <x:c r="P5" s="20" t="str">
        <x:v>No</x:v>
      </x:c>
      <x:c r="Q5" s="20" t="str">
        <x:v>体外细胞模型：
人结直肠癌细胞 HT-29</x:v>
      </x:c>
      <x:c r="R5" s="20" t="str">
        <x:v>100 µM kaempferol with 50 µM 5-FU for 48 h</x:v>
      </x:c>
      <x:c r="S5" s="20" t="str">
        <x:v>Apoptosis/cell cycle; PI3K/Akt/mTOR/metabolism</x:v>
      </x:c>
      <x:c r="T5" s="20" t="str">
        <x:v>Direct mechanistic evidence requiring in vivo validation.</x:v>
      </x:c>
      <x:c r="U5" s="20" t="str">
        <x:v>2019</x:v>
      </x:c>
      <x:c r="V5" s="20" t="str">
        <x:v>2019/07/01</x:v>
      </x:c>
      <x:c r="W5" s="20" t="str">
        <x:v>Kaempferol</x:v>
      </x:c>
      <x:c r="X5" s="20" t="str">
        <x:v>天然黄酮类化合物</x:v>
      </x:c>
      <x:c r="Y5" s="20" t="str">
        <x:v>Not established from this row alone</x:v>
      </x:c>
      <x:c r="Z5" s="20" t="str">
        <x:v>Dietary, generic botanical, or non-specific natural-product source</x:v>
      </x:c>
      <x:c r="AA5" s="20" t="str">
        <x:v>PMID 31180555; PMID31180555</x:v>
      </x:c>
      <x:c r="AB5" s="20" t="str">
        <x:v>Purified isolated compound(s): Kaempferol</x:v>
      </x:c>
      <x:c r="AC5" s="20" t="str">
        <x:v>One unique PMID-linked reference</x:v>
      </x:c>
    </x:row>
    <x:row r="6">
      <x:c r="A6" s="20" t="str">
        <x:v>32532192</x:v>
      </x:c>
      <x:c r="B6" s="20" t="str">
        <x:v>PMID32532192</x:v>
      </x:c>
      <x:c r="C6" s="20" t="str">
        <x:v>ellagic acid</x:v>
      </x:c>
      <x:c r="D6" s="20" t="str">
        <x:v>Polyphenols</x:v>
      </x:c>
      <x:c r="E6" s="20" t="str">
        <x:v>Lignans and Polyphenols of Phyllanthus amarus Schumach and Thonn Induce Apoptosis in HCT116 Human Colon Cancer Cells through Caspases-Dependent Pathway.</x:v>
      </x:c>
      <x:c r="F6" s="20" t="str">
        <x:v>Extract/formula/decoction contextual evidence</x:v>
      </x:c>
      <x:c r="G6" s="20" t="str">
        <x:v>No</x:v>
      </x:c>
      <x:c r="H6" s="20" t="str">
        <x:v>No</x:v>
      </x:c>
      <x:c r="I6" s="20" t="str">
        <x:v>No</x:v>
      </x:c>
      <x:c r="J6" s="20" t="str">
        <x:v>No</x:v>
      </x:c>
      <x:c r="K6" s="20" t="str">
        <x:v>No</x:v>
      </x:c>
      <x:c r="L6" s="20" t="str">
        <x:v>No</x:v>
      </x:c>
      <x:c r="M6" s="20" t="str">
        <x:v>No</x:v>
      </x:c>
      <x:c r="N6" s="20" t="str">
        <x:v>Yes</x:v>
      </x:c>
      <x:c r="O6" s="20" t="str">
        <x:v>No</x:v>
      </x:c>
      <x:c r="P6" s="20" t="str">
        <x:v>No</x:v>
      </x:c>
      <x:c r="Q6" s="20" t="str">
        <x:v>HCT116 细胞、CCD18Co 正常细胞；体外实验</x:v>
      </x:c>
      <x:c r="R6" s="20" t="str">
        <x:v>not captured in source extraction</x:v>
      </x:c>
      <x:c r="S6" s="20" t="str">
        <x:v>Apoptosis/cell cycle</x:v>
      </x:c>
      <x:c r="T6" s="20" t="str">
        <x:v>Context only; preparation effects are not assigned to an isolated monomer.</x:v>
      </x:c>
      <x:c r="U6" s="20" t="str">
        <x:v>2021</x:v>
      </x:c>
      <x:c r="V6" s="20" t="str">
        <x:v>2021/01/01</x:v>
      </x:c>
      <x:c r="W6" s="20" t="str">
        <x:v>ellagic acid</x:v>
      </x:c>
      <x:c r="X6" s="20" t="str">
        <x:v>Phyllanthus amarus 植物提取物</x:v>
      </x:c>
      <x:c r="Y6" s="20" t="str">
        <x:v>Not established from supplied source field</x:v>
      </x:c>
      <x:c r="Z6" s="20" t="str">
        <x:v>Generic botanical, dietary, computational, or unspecified association</x:v>
      </x:c>
      <x:c r="AA6" s="20" t="str">
        <x:v>PMID 32532192; PMID32532192</x:v>
      </x:c>
      <x:c r="AB6" s="20" t="str">
        <x:v>Extract/formula/decoction contextual evidence</x:v>
      </x:c>
      <x:c r="AC6" s="20" t="str">
        <x:v>One unique PMID-linked reference</x:v>
      </x:c>
    </x:row>
    <x:row r="7">
      <x:c r="A7" s="20" t="str">
        <x:v>32592323</x:v>
      </x:c>
      <x:c r="B7" s="20" t="str">
        <x:v>PMID32592323</x:v>
      </x:c>
      <x:c r="C7" s="20" t="str">
        <x:v>beta-Lapachone</x:v>
      </x:c>
      <x:c r="D7" s="20" t="str">
        <x:v>Quinones</x:v>
      </x:c>
      <x:c r="E7" s="20" t="str">
        <x:v>Novel beta-carboline-based indole-4,7-quinone derivatives as NAD(P)H: Quinone-oxidoreductase-1 inhibitor with potent antitumor activities by inducing reactive oxygen species, apoptosis, and DNA damage.</x:v>
      </x:c>
      <x:c r="F7" s="20" t="str">
        <x:v>Derivative/metabolite contextual evidence</x:v>
      </x:c>
      <x:c r="G7" s="20" t="str">
        <x:v>No</x:v>
      </x:c>
      <x:c r="H7" s="20" t="str">
        <x:v>No</x:v>
      </x:c>
      <x:c r="I7" s="20" t="str">
        <x:v>No</x:v>
      </x:c>
      <x:c r="J7" s="20" t="str">
        <x:v>No</x:v>
      </x:c>
      <x:c r="K7" s="20" t="str">
        <x:v>No</x:v>
      </x:c>
      <x:c r="L7" s="20" t="str">
        <x:v>Yes</x:v>
      </x:c>
      <x:c r="M7" s="20" t="str">
        <x:v>No</x:v>
      </x:c>
      <x:c r="N7" s="20" t="str">
        <x:v>No</x:v>
      </x:c>
      <x:c r="O7" s="20" t="str">
        <x:v>No</x:v>
      </x:c>
      <x:c r="P7" s="20" t="str">
        <x:v>No</x:v>
      </x:c>
      <x:c r="Q7" s="20" t="str">
        <x:v>体外：三种肿瘤细胞系（其中之一HT29）；体内：HT29异种移植小鼠模型</x:v>
      </x:c>
      <x:c r="R7" s="20" t="str">
        <x:v>not captured in source extraction</x:v>
      </x:c>
      <x:c r="S7" s="20" t="str">
        <x:v>Apoptosis/cell cycle; ROS/ferroptosis</x:v>
      </x:c>
      <x:c r="T7" s="20" t="str">
        <x:v>Context only; The tested antitumour agent was a beta-carboline-based quinone derivative, not isolated beta-lapachone.</x:v>
      </x:c>
      <x:c r="U7" s="20" t="str">
        <x:v>2020</x:v>
      </x:c>
      <x:c r="V7" s="20" t="str">
        <x:v>2020/12/01</x:v>
      </x:c>
      <x:c r="W7" s="20" t="str">
        <x:v>beta-Lapachone</x:v>
      </x:c>
      <x:c r="X7" s="20" t="str">
        <x:v>天然获得</x:v>
      </x:c>
      <x:c r="Y7" s="20" t="str">
        <x:v>No—direct Chinese materia medica association not established in supplied sources</x:v>
      </x:c>
      <x:c r="Z7" s="20" t="str">
        <x:v>Related natural-product evidence only</x:v>
      </x:c>
      <x:c r="AA7" s="20" t="str">
        <x:v>PMID 32592323; PMID32592323</x:v>
      </x:c>
      <x:c r="AB7" s="20" t="str">
        <x:v>Derivative/metabolite contextual evidence</x:v>
      </x:c>
      <x:c r="AC7" s="20" t="str">
        <x:v>One unique PMID-linked reference</x:v>
      </x:c>
    </x:row>
    <x:row r="8">
      <x:c r="A8" s="20" t="str">
        <x:v>32706272</x:v>
      </x:c>
      <x:c r="B8" s="20" t="str">
        <x:v>PMID32706272</x:v>
      </x:c>
      <x:c r="C8" s="20" t="str">
        <x:v>beta-Lapachone</x:v>
      </x:c>
      <x:c r="D8" s="20" t="str">
        <x:v>Quinones</x:v>
      </x:c>
      <x:c r="E8" s="20" t="str">
        <x:v>A pH/ROS cascade-responsive and self-accelerating drug release nanosystem for the targeted treatment of multi-drug-resistant colon cancer.</x:v>
      </x:c>
      <x:c r="F8" s="20" t="str">
        <x:v>Formulation/nanodelivery contextual evidence</x:v>
      </x:c>
      <x:c r="G8" s="20" t="str">
        <x:v>No</x:v>
      </x:c>
      <x:c r="H8" s="20" t="str">
        <x:v>No</x:v>
      </x:c>
      <x:c r="I8" s="20" t="str">
        <x:v>No</x:v>
      </x:c>
      <x:c r="J8" s="20" t="str">
        <x:v>No</x:v>
      </x:c>
      <x:c r="K8" s="20" t="str">
        <x:v>No</x:v>
      </x:c>
      <x:c r="L8" s="20" t="str">
        <x:v>Yes</x:v>
      </x:c>
      <x:c r="M8" s="20" t="str">
        <x:v>Yes</x:v>
      </x:c>
      <x:c r="N8" s="20" t="str">
        <x:v>No</x:v>
      </x:c>
      <x:c r="O8" s="20" t="str">
        <x:v>No</x:v>
      </x:c>
      <x:c r="P8" s="20" t="str">
        <x:v>No</x:v>
      </x:c>
      <x:c r="Q8" s="20" t="str">
        <x:v>体外和体内实验</x:v>
      </x:c>
      <x:c r="R8" s="20" t="str">
        <x:v>not captured in source extraction</x:v>
      </x:c>
      <x:c r="S8" s="20" t="str">
        <x:v>ROS/ferroptosis; Wnt/beta-catenin/stemness</x:v>
      </x:c>
      <x:c r="T8" s="20" t="str">
        <x:v>Context only; the delivery system cannot be attributed to isolated monomer activity.</x:v>
      </x:c>
      <x:c r="U8" s="20" t="str">
        <x:v>2020</x:v>
      </x:c>
      <x:c r="V8" s="20" t="str">
        <x:v>2020/12/01</x:v>
      </x:c>
      <x:c r="W8" s="20" t="str">
        <x:v>beta-Lapachone</x:v>
      </x:c>
      <x:c r="X8" s="20" t="str">
        <x:v>拉帕乔树的树皮</x:v>
      </x:c>
      <x:c r="Y8" s="20" t="str">
        <x:v>No—direct Chinese materia medica association not established in supplied sources</x:v>
      </x:c>
      <x:c r="Z8" s="20" t="str">
        <x:v>Related natural-product evidence only</x:v>
      </x:c>
      <x:c r="AA8" s="20" t="str">
        <x:v>PMID 32706272; PMID32706272</x:v>
      </x:c>
      <x:c r="AB8" s="20" t="str">
        <x:v>Formulation/nanodelivery contextual evidence</x:v>
      </x:c>
      <x:c r="AC8" s="20" t="str">
        <x:v>One unique PMID-linked reference</x:v>
      </x:c>
    </x:row>
    <x:row r="9">
      <x:c r="A9" s="20" t="str">
        <x:v>32930006</x:v>
      </x:c>
      <x:c r="B9" s="20" t="str">
        <x:v>PMID32930006</x:v>
      </x:c>
      <x:c r="C9" s="20" t="str">
        <x:v>Luteolin</x:v>
      </x:c>
      <x:c r="D9" s="20" t="str">
        <x:v>Flavonoids</x:v>
      </x:c>
      <x:c r="E9" s="20" t="str">
        <x:v>Differential Cytotoxicity of Rooibos and Green Tea Extracts against Primary Rat Hepatocytes and Human Liver and Colon Cancer Cells - Causal Role of Major Flavonoids.</x:v>
      </x:c>
      <x:c r="F9" s="20" t="str">
        <x:v>Extract/formula/decoction contextual evidence</x:v>
      </x:c>
      <x:c r="G9" s="20" t="str">
        <x:v>No</x:v>
      </x:c>
      <x:c r="H9" s="20" t="str">
        <x:v>No</x:v>
      </x:c>
      <x:c r="I9" s="20" t="str">
        <x:v>No</x:v>
      </x:c>
      <x:c r="J9" s="20" t="str">
        <x:v>No</x:v>
      </x:c>
      <x:c r="K9" s="20" t="str">
        <x:v>No</x:v>
      </x:c>
      <x:c r="L9" s="20" t="str">
        <x:v>No</x:v>
      </x:c>
      <x:c r="M9" s="20" t="str">
        <x:v>No</x:v>
      </x:c>
      <x:c r="N9" s="20" t="str">
        <x:v>Yes</x:v>
      </x:c>
      <x:c r="O9" s="20" t="str">
        <x:v>No</x:v>
      </x:c>
      <x:c r="P9" s="20" t="str">
        <x:v>No</x:v>
      </x:c>
      <x:c r="Q9" s="20" t="str">
        <x:v>原发性大鼠肝细胞 （PH） 和人肝脏 （HepG2） 和结肠 （HT-29） 癌细胞</x:v>
      </x:c>
      <x:c r="R9" s="20" t="str">
        <x:v>not captured in source extraction</x:v>
      </x:c>
      <x:c r="S9" s="20" t="str">
        <x:v>Apoptosis/cell cycle</x:v>
      </x:c>
      <x:c r="T9" s="20" t="str">
        <x:v>Context only; preparation effects are not assigned to an isolated monomer.</x:v>
      </x:c>
      <x:c r="U9" s="20" t="str">
        <x:v>2021</x:v>
      </x:c>
      <x:c r="V9" s="20" t="str">
        <x:v>2021/01/01</x:v>
      </x:c>
      <x:c r="W9" s="20" t="str">
        <x:v>Luteolin</x:v>
      </x:c>
      <x:c r="X9" s="20" t="str">
        <x:v>绿色路易波士茶提取物 （GRE）</x:v>
      </x:c>
      <x:c r="Y9" s="20" t="str">
        <x:v>Not established from this row alone</x:v>
      </x:c>
      <x:c r="Z9" s="20" t="str">
        <x:v>Dietary, generic botanical, or non-specific natural-product source</x:v>
      </x:c>
      <x:c r="AA9" s="20" t="str">
        <x:v>PMID 32930006; PMID32930006</x:v>
      </x:c>
      <x:c r="AB9" s="20" t="str">
        <x:v>Extract/formula/decoction contextual evidence</x:v>
      </x:c>
      <x:c r="AC9" s="20" t="str">
        <x:v>One unique PMID-linked reference</x:v>
      </x:c>
    </x:row>
    <x:row r="10">
      <x:c r="A10" s="20" t="str">
        <x:v>33137468</x:v>
      </x:c>
      <x:c r="B10" s="20" t="str">
        <x:v>PMID33137468</x:v>
      </x:c>
      <x:c r="C10" s="20" t="str">
        <x:v>macrocarpal I</x:v>
      </x:c>
      <x:c r="D10" s="20" t="str">
        <x:v>Meroterpenoids</x:v>
      </x:c>
      <x:c r="E10" s="20" t="str">
        <x:v>The inhibition of colorectal cancer growth by the natural product macrocarpal I.</x:v>
      </x:c>
      <x:c r="F10" s="20" t="str">
        <x:v>Animal-validated isolated monomer evidence</x:v>
      </x:c>
      <x:c r="G10" s="20" t="str">
        <x:v>Yes</x:v>
      </x:c>
      <x:c r="H10" s="20" t="str">
        <x:v>Yes</x:v>
      </x:c>
      <x:c r="I10" s="20" t="str">
        <x:v>No</x:v>
      </x:c>
      <x:c r="J10" s="20" t="str">
        <x:v>No</x:v>
      </x:c>
      <x:c r="K10" s="20" t="str">
        <x:v>No</x:v>
      </x:c>
      <x:c r="L10" s="20" t="str">
        <x:v>No</x:v>
      </x:c>
      <x:c r="M10" s="20" t="str">
        <x:v>No</x:v>
      </x:c>
      <x:c r="N10" s="20" t="str">
        <x:v>No</x:v>
      </x:c>
      <x:c r="O10" s="20" t="str">
        <x:v>No</x:v>
      </x:c>
      <x:c r="P10" s="20" t="str">
        <x:v>No</x:v>
      </x:c>
      <x:c r="Q10" s="20" t="str">
        <x:v>体外：CRC细胞；体内：裸鼠皮下成瘤模型</x:v>
      </x:c>
      <x:c r="R10" s="20" t="str">
        <x:v>not captured in source extraction</x:v>
      </x:c>
      <x:c r="S10" s="20" t="str">
        <x:v>Apoptosis/cell cycle</x:v>
      </x:c>
      <x:c r="T10" s="20" t="str">
        <x:v>High-information direct preclinical evidence.</x:v>
      </x:c>
      <x:c r="U10" s="20" t="str">
        <x:v>2021</x:v>
      </x:c>
      <x:c r="V10" s="20" t="str">
        <x:v>2021/01/01</x:v>
      </x:c>
      <x:c r="W10" s="20" t="str">
        <x:v>macrocarpal I</x:v>
      </x:c>
      <x:c r="X10" s="20" t="str">
        <x:v>植物</x:v>
      </x:c>
      <x:c r="Y10" s="20" t="str">
        <x:v>No—direct Chinese materia medica association not established in supplied sources</x:v>
      </x:c>
      <x:c r="Z10" s="20" t="str">
        <x:v>Related natural-product evidence only</x:v>
      </x:c>
      <x:c r="AA10" s="20" t="str">
        <x:v>PMID 33137468; PMID33137468</x:v>
      </x:c>
      <x:c r="AB10" s="20" t="str">
        <x:v>Purified isolated compound(s): macrocarpal I</x:v>
      </x:c>
      <x:c r="AC10" s="20" t="str">
        <x:v>One unique PMID-linked reference</x:v>
      </x:c>
    </x:row>
    <x:row r="11">
      <x:c r="A11" s="20" t="str">
        <x:v>33153029</x:v>
      </x:c>
      <x:c r="B11" s="20" t="str">
        <x:v>PMID33153029</x:v>
      </x:c>
      <x:c r="C11" s="20" t="str">
        <x:v>Pinocembrin</x:v>
      </x:c>
      <x:c r="D11" s="20" t="str">
        <x:v>Flavonoids</x:v>
      </x:c>
      <x:c r="E11" s="20" t="str">
        <x:v>New Oleoyl Hybrids of Natural Antioxidants: Synthesis and In Vitro Evaluation as Inducers of Apoptosis in Colorectal Cancer Cells.</x:v>
      </x:c>
      <x:c r="F11" s="20" t="str">
        <x:v>Derivative/metabolite contextual evidence</x:v>
      </x:c>
      <x:c r="G11" s="20" t="str">
        <x:v>No</x:v>
      </x:c>
      <x:c r="H11" s="20" t="str">
        <x:v>No</x:v>
      </x:c>
      <x:c r="I11" s="20" t="str">
        <x:v>No</x:v>
      </x:c>
      <x:c r="J11" s="20" t="str">
        <x:v>No</x:v>
      </x:c>
      <x:c r="K11" s="20" t="str">
        <x:v>No</x:v>
      </x:c>
      <x:c r="L11" s="20" t="str">
        <x:v>No</x:v>
      </x:c>
      <x:c r="M11" s="20" t="str">
        <x:v>No</x:v>
      </x:c>
      <x:c r="N11" s="20" t="str">
        <x:v>No</x:v>
      </x:c>
      <x:c r="O11" s="20" t="str">
        <x:v>No</x:v>
      </x:c>
      <x:c r="P11" s="20" t="str">
        <x:v>No</x:v>
      </x:c>
      <x:c r="Q11" s="20" t="str">
        <x:v>多种人癌细胞系，重点为结直肠癌细胞</x:v>
      </x:c>
      <x:c r="R11" s="20" t="str">
        <x:v>not captured in source extraction</x:v>
      </x:c>
      <x:c r="S11" s="20" t="str">
        <x:v>Apoptosis/cell cycle</x:v>
      </x:c>
      <x:c r="T11" s="20" t="str">
        <x:v>Context only; The tested agents were oleoyl hybrids rather than isolated pinocembrin.</x:v>
      </x:c>
      <x:c r="U11" s="20" t="str">
        <x:v>2020</x:v>
      </x:c>
      <x:c r="V11" s="20" t="str">
        <x:v>2020/11/03</x:v>
      </x:c>
      <x:c r="W11" s="20" t="str">
        <x:v>Pinocembrin</x:v>
      </x:c>
      <x:c r="X11" s="20" t="str">
        <x:v>蜂胶</x:v>
      </x:c>
      <x:c r="Y11" s="20" t="str">
        <x:v>Not established from supplied source field</x:v>
      </x:c>
      <x:c r="Z11" s="20" t="str">
        <x:v>Generic botanical, dietary, computational, or unspecified association</x:v>
      </x:c>
      <x:c r="AA11" s="20" t="str">
        <x:v>PMID 33153029; PMID33153029</x:v>
      </x:c>
      <x:c r="AB11" s="20" t="str">
        <x:v>Derivative/metabolite contextual evidence</x:v>
      </x:c>
      <x:c r="AC11" s="20" t="str">
        <x:v>One unique PMID-linked reference</x:v>
      </x:c>
    </x:row>
    <x:row r="12">
      <x:c r="A12" s="20" t="str">
        <x:v>33221063</x:v>
      </x:c>
      <x:c r="B12" s="20" t="str">
        <x:v>PMID33221063</x:v>
      </x:c>
      <x:c r="C12" s="20" t="str">
        <x:v>Neothalfine</x:v>
      </x:c>
      <x:c r="D12" s="20" t="str">
        <x:v>Alkaloids</x:v>
      </x:c>
      <x:c r="E12" s="20" t="str">
        <x:v>Neothalfine, a potent natural anti-tumor agent against metastatic colorectal cancer and its primary mechanism.</x:v>
      </x:c>
      <x:c r="F12" s="20" t="str">
        <x:v>Cell-only isolated monomer evidence</x:v>
      </x:c>
      <x:c r="G12" s="20" t="str">
        <x:v>Yes</x:v>
      </x:c>
      <x:c r="H12" s="20" t="str">
        <x:v>No</x:v>
      </x:c>
      <x:c r="I12" s="20" t="str">
        <x:v>Yes</x:v>
      </x:c>
      <x:c r="J12" s="20" t="str">
        <x:v>No</x:v>
      </x:c>
      <x:c r="K12" s="20" t="str">
        <x:v>No</x:v>
      </x:c>
      <x:c r="L12" s="20" t="str">
        <x:v>No</x:v>
      </x:c>
      <x:c r="M12" s="20" t="str">
        <x:v>No</x:v>
      </x:c>
      <x:c r="N12" s="20" t="str">
        <x:v>No</x:v>
      </x:c>
      <x:c r="O12" s="20" t="str">
        <x:v>No</x:v>
      </x:c>
      <x:c r="P12" s="20" t="str">
        <x:v>No</x:v>
      </x:c>
      <x:c r="Q12" s="20" t="str">
        <x:v>HCT116、SW620、T84 等结直肠癌细胞系</x:v>
      </x:c>
      <x:c r="R12" s="20" t="str">
        <x:v>not captured in source extraction</x:v>
      </x:c>
      <x:c r="S12" s="20" t="str">
        <x:v>Apoptosis/cell cycle; EMT/ECM/metastasis</x:v>
      </x:c>
      <x:c r="T12" s="20" t="str">
        <x:v>Direct mechanistic evidence requiring in vivo validation.</x:v>
      </x:c>
      <x:c r="U12" s="20" t="str">
        <x:v>2021</x:v>
      </x:c>
      <x:c r="V12" s="20" t="str">
        <x:v>2021/01/01</x:v>
      </x:c>
      <x:c r="W12" s="20" t="str">
        <x:v>Neothalfine</x:v>
      </x:c>
      <x:c r="X12" s="20" t="str">
        <x:v>药用植物</x:v>
      </x:c>
      <x:c r="Y12" s="20" t="str">
        <x:v>Not established from supplied source field</x:v>
      </x:c>
      <x:c r="Z12" s="20" t="str">
        <x:v>Generic botanical, dietary, computational, or unspecified association</x:v>
      </x:c>
      <x:c r="AA12" s="20" t="str">
        <x:v>PMID 33221063; PMID33221063</x:v>
      </x:c>
      <x:c r="AB12" s="20" t="str">
        <x:v>Purified isolated compound(s): Neothalfine</x:v>
      </x:c>
      <x:c r="AC12" s="20" t="str">
        <x:v>One unique PMID-linked reference</x:v>
      </x:c>
    </x:row>
    <x:row r="13">
      <x:c r="A13" s="20" t="str">
        <x:v>33395536</x:v>
      </x:c>
      <x:c r="B13" s="20" t="str">
        <x:v>PMID33395536</x:v>
      </x:c>
      <x:c r="C13" s="20" t="str">
        <x:v>Pinocembrin</x:v>
      </x:c>
      <x:c r="D13" s="20" t="str">
        <x:v>Flavonoids</x:v>
      </x:c>
      <x:c r="E13" s="20" t="str">
        <x:v>Pinocembrin Inhibits the Proliferation, Migration, Invasiveness, and Epithelial-Mesenchymal Transition of Colorectal Cancer Cells by Regulating LACTB.</x:v>
      </x:c>
      <x:c r="F13" s="20" t="str">
        <x:v>Cell-only isolated monomer evidence</x:v>
      </x:c>
      <x:c r="G13" s="20" t="str">
        <x:v>Yes</x:v>
      </x:c>
      <x:c r="H13" s="20" t="str">
        <x:v>No</x:v>
      </x:c>
      <x:c r="I13" s="20" t="str">
        <x:v>Yes</x:v>
      </x:c>
      <x:c r="J13" s="20" t="str">
        <x:v>No</x:v>
      </x:c>
      <x:c r="K13" s="20" t="str">
        <x:v>No</x:v>
      </x:c>
      <x:c r="L13" s="20" t="str">
        <x:v>No</x:v>
      </x:c>
      <x:c r="M13" s="20" t="str">
        <x:v>No</x:v>
      </x:c>
      <x:c r="N13" s="20" t="str">
        <x:v>No</x:v>
      </x:c>
      <x:c r="O13" s="20" t="str">
        <x:v>No</x:v>
      </x:c>
      <x:c r="P13" s="20" t="str">
        <x:v>No</x:v>
      </x:c>
      <x:c r="Q13" s="20" t="str">
        <x:v>人结直肠癌细胞系 HT29 和 HCT116（体外模型）</x:v>
      </x:c>
      <x:c r="R13" s="20" t="str">
        <x:v>not captured in source extraction</x:v>
      </x:c>
      <x:c r="S13" s="20" t="str">
        <x:v>EMT/ECM/metastasis</x:v>
      </x:c>
      <x:c r="T13" s="20" t="str">
        <x:v>Direct mechanistic evidence requiring in vivo validation.</x:v>
      </x:c>
      <x:c r="U13" s="20" t="str">
        <x:v>2022</x:v>
      </x:c>
      <x:c r="V13" s="20" t="str">
        <x:v>2022/09/01</x:v>
      </x:c>
      <x:c r="W13" s="20" t="str">
        <x:v>Pinocembrin</x:v>
      </x:c>
      <x:c r="X13" s="20" t="str">
        <x:v>天然黄酮类化合物</x:v>
      </x:c>
      <x:c r="Y13" s="20" t="str">
        <x:v>Not established from supplied source field</x:v>
      </x:c>
      <x:c r="Z13" s="20" t="str">
        <x:v>Generic botanical, dietary, computational, or unspecified association</x:v>
      </x:c>
      <x:c r="AA13" s="20" t="str">
        <x:v>PMID 33395536; PMID33395536</x:v>
      </x:c>
      <x:c r="AB13" s="20" t="str">
        <x:v>Purified isolated compound(s): Pinocembrin</x:v>
      </x:c>
      <x:c r="AC13" s="20" t="str">
        <x:v>One unique PMID-linked reference</x:v>
      </x:c>
    </x:row>
    <x:row r="14">
      <x:c r="A14" s="20" t="str">
        <x:v>33425893</x:v>
      </x:c>
      <x:c r="B14" s="20" t="str">
        <x:v>PMID33425893</x:v>
      </x:c>
      <x:c r="C14" s="20" t="str">
        <x:v>caffeic acid</x:v>
      </x:c>
      <x:c r="D14" s="20" t="str">
        <x:v>Phenolic acids</x:v>
      </x:c>
      <x:c r="E14" s="20" t="str">
        <x:v>A Novel Therapeutic Approach for Colorectal Cancer Stem Cells: Blocking the PI3K/Akt Signaling Axis With Caffeic Acid.</x:v>
      </x:c>
      <x:c r="F14" s="20" t="str">
        <x:v>Cell-only isolated monomer evidence</x:v>
      </x:c>
      <x:c r="G14" s="20" t="str">
        <x:v>Yes</x:v>
      </x:c>
      <x:c r="H14" s="20" t="str">
        <x:v>No</x:v>
      </x:c>
      <x:c r="I14" s="20" t="str">
        <x:v>Yes</x:v>
      </x:c>
      <x:c r="J14" s="20" t="str">
        <x:v>No</x:v>
      </x:c>
      <x:c r="K14" s="20" t="str">
        <x:v>No</x:v>
      </x:c>
      <x:c r="L14" s="20" t="str">
        <x:v>No</x:v>
      </x:c>
      <x:c r="M14" s="20" t="str">
        <x:v>No</x:v>
      </x:c>
      <x:c r="N14" s="20" t="str">
        <x:v>No</x:v>
      </x:c>
      <x:c r="O14" s="20" t="str">
        <x:v>No</x:v>
      </x:c>
      <x:c r="P14" s="20" t="str">
        <x:v>No</x:v>
      </x:c>
      <x:c r="Q14" s="20" t="str">
        <x:v>CD44+/CD133+ 结直肠癌干细胞</x:v>
      </x:c>
      <x:c r="R14" s="20" t="str">
        <x:v>not captured in source extraction</x:v>
      </x:c>
      <x:c r="S14" s="20" t="str">
        <x:v>EMT/ECM/metastasis; PI3K/Akt/mTOR/metabolism; Wnt/beta-catenin/stemness</x:v>
      </x:c>
      <x:c r="T14" s="20" t="str">
        <x:v>Direct mechanistic evidence requiring in vivo validation.</x:v>
      </x:c>
      <x:c r="U14" s="20" t="str">
        <x:v>2020</x:v>
      </x:c>
      <x:c r="V14" s="20" t="str">
        <x:v>2020/12/23</x:v>
      </x:c>
      <x:c r="W14" s="20" t="str">
        <x:v>caffeic acid</x:v>
      </x:c>
      <x:c r="X14" s="20" t="str">
        <x:v>咖啡</x:v>
      </x:c>
      <x:c r="Y14" s="20" t="str">
        <x:v>Not established from supplied source field</x:v>
      </x:c>
      <x:c r="Z14" s="20" t="str">
        <x:v>Generic botanical, dietary, computational, or unspecified association</x:v>
      </x:c>
      <x:c r="AA14" s="20" t="str">
        <x:v>PMID 33425893; PMID33425893</x:v>
      </x:c>
      <x:c r="AB14" s="20" t="str">
        <x:v>Purified isolated compound(s): caffeic acid</x:v>
      </x:c>
      <x:c r="AC14" s="20" t="str">
        <x:v>One unique PMID-linked reference</x:v>
      </x:c>
    </x:row>
    <x:row r="15">
      <x:c r="A15" s="20" t="str">
        <x:v>33535870</x:v>
      </x:c>
      <x:c r="B15" s="20" t="str">
        <x:v>PMID33535870</x:v>
      </x:c>
      <x:c r="C15" s="20" t="str">
        <x:v>Tanshinone IIA</x:v>
      </x:c>
      <x:c r="D15" s="20" t="str">
        <x:v>Diterpenoid quinones</x:v>
      </x:c>
      <x:c r="E15" s="20" t="str">
        <x:v>Tanshinone IIA attenuates AOM/DSS-induced colorectal tumorigenesis in mice via inhibition of intestinal inflammation.</x:v>
      </x:c>
      <x:c r="F15" s="20" t="str">
        <x:v>Animal-validated isolated monomer evidence</x:v>
      </x:c>
      <x:c r="G15" s="20" t="str">
        <x:v>Yes</x:v>
      </x:c>
      <x:c r="H15" s="20" t="str">
        <x:v>Yes</x:v>
      </x:c>
      <x:c r="I15" s="20" t="str">
        <x:v>No</x:v>
      </x:c>
      <x:c r="J15" s="20" t="str">
        <x:v>No</x:v>
      </x:c>
      <x:c r="K15" s="20" t="str">
        <x:v>No</x:v>
      </x:c>
      <x:c r="L15" s="20" t="str">
        <x:v>No</x:v>
      </x:c>
      <x:c r="M15" s="20" t="str">
        <x:v>No</x:v>
      </x:c>
      <x:c r="N15" s="20" t="str">
        <x:v>No</x:v>
      </x:c>
      <x:c r="O15" s="20" t="str">
        <x:v>No</x:v>
      </x:c>
      <x:c r="P15" s="20" t="str">
        <x:v>No</x:v>
      </x:c>
      <x:c r="Q15" s="20" t="str">
        <x:v>1. 体内模型（in vivo）： AOM/DSS诱导的结肠炎相关性结直肠癌小鼠模型），使用雄性C57BL/6小鼠；
2. 体外模型（in vitro）： 脂多糖（LPS）诱导的中性粒细胞活化实验</x:v>
      </x:c>
      <x:c r="R15" s="20" t="str">
        <x:v>AOM 10 mg/kg and 2.5% DSS; tanshinone IIA 200 mg/kg intraperitoneally</x:v>
      </x:c>
      <x:c r="S15" s="20" t="str">
        <x:v>NF-kB/STAT3/inflammation</x:v>
      </x:c>
      <x:c r="T15" s="20" t="str">
        <x:v>High-information direct preclinical evidence.</x:v>
      </x:c>
      <x:c r="U15" s="20" t="str">
        <x:v>2021</x:v>
      </x:c>
      <x:c r="V15" s="20" t="str">
        <x:v>2021/12/01</x:v>
      </x:c>
      <x:c r="W15" s="20" t="str">
        <x:v>Tanshinone IIA</x:v>
      </x:c>
      <x:c r="X15" s="20" t="str">
        <x:v>丹参</x:v>
      </x:c>
      <x:c r="Y15" s="20" t="str">
        <x:v>Yes—directly traceable in supplied records</x:v>
      </x:c>
      <x:c r="Z15" s="20" t="str">
        <x:v>Constituent of Danshen (Salvia miltiorrhiza)</x:v>
      </x:c>
      <x:c r="AA15" s="20" t="str">
        <x:v>PMID 33535870; PMID33535870</x:v>
      </x:c>
      <x:c r="AB15" s="20" t="str">
        <x:v>Purified isolated compound(s): Tanshinone IIA</x:v>
      </x:c>
      <x:c r="AC15" s="20" t="str">
        <x:v>One unique PMID-linked reference</x:v>
      </x:c>
    </x:row>
    <x:row r="16">
      <x:c r="A16" s="20" t="str">
        <x:v>33596716</x:v>
      </x:c>
      <x:c r="B16" s="20" t="str">
        <x:v>PMID33596716</x:v>
      </x:c>
      <x:c r="C16" s="20" t="str">
        <x:v>silibinin</x:v>
      </x:c>
      <x:c r="D16" s="20" t="str">
        <x:v>Flavonoids</x:v>
      </x:c>
      <x:c r="E16" s="20" t="str">
        <x:v>Modulation of the Canonical Wnt Signaling Pathway by Dietary Polyphenols, an Opportunity for Colorectal Cancer Chemoprevention and Treatment.</x:v>
      </x:c>
      <x:c r="F16" s="20" t="str">
        <x:v>Review/background evidence</x:v>
      </x:c>
      <x:c r="G16" s="20" t="str">
        <x:v>No</x:v>
      </x:c>
      <x:c r="H16" s="20" t="str">
        <x:v>No</x:v>
      </x:c>
      <x:c r="I16" s="20" t="str">
        <x:v>No</x:v>
      </x:c>
      <x:c r="J16" s="20" t="str">
        <x:v>No</x:v>
      </x:c>
      <x:c r="K16" s="20" t="str">
        <x:v>No</x:v>
      </x:c>
      <x:c r="L16" s="20" t="str">
        <x:v>No</x:v>
      </x:c>
      <x:c r="M16" s="20" t="str">
        <x:v>No</x:v>
      </x:c>
      <x:c r="N16" s="20" t="str">
        <x:v>No</x:v>
      </x:c>
      <x:c r="O16" s="20" t="str">
        <x:v>No</x:v>
      </x:c>
      <x:c r="P16" s="20" t="str">
        <x:v>Yes</x:v>
      </x:c>
      <x:c r="Q16" s="20" t="str">
        <x:v>体内：使用 DMH 诱导的雄性 Wistar 大鼠结肠肿瘤模型。</x:v>
      </x:c>
      <x:c r="R16" s="20" t="str">
        <x:v>not captured in source extraction</x:v>
      </x:c>
      <x:c r="S16" s="20" t="str">
        <x:v>Wnt/beta-catenin/stemness</x:v>
      </x:c>
      <x:c r="T16" s="20" t="str">
        <x:v>Background synthesis only; not counted as new efficacy evidence.</x:v>
      </x:c>
      <x:c r="U16" s="20" t="str">
        <x:v>2022</x:v>
      </x:c>
      <x:c r="V16" s="20" t="str">
        <x:v>2022/01/01</x:v>
      </x:c>
      <x:c r="W16" s="20" t="str">
        <x:v>silibinin</x:v>
      </x:c>
      <x:c r="X16" s="20" t="str">
        <x:v>水飞蓟</x:v>
      </x:c>
      <x:c r="Y16" s="20" t="str">
        <x:v>Not established from supplied source field</x:v>
      </x:c>
      <x:c r="Z16" s="20" t="str">
        <x:v>Generic botanical, dietary, computational, or unspecified association</x:v>
      </x:c>
      <x:c r="AA16" s="20" t="str">
        <x:v>PMID 33596716; PMID33596716</x:v>
      </x:c>
      <x:c r="AB16" s="20" t="str">
        <x:v>Review/background evidence</x:v>
      </x:c>
      <x:c r="AC16" s="20" t="str">
        <x:v>One unique PMID-linked reference</x:v>
      </x:c>
    </x:row>
    <x:row r="17">
      <x:c r="A17" s="20" t="str">
        <x:v>33658761</x:v>
      </x:c>
      <x:c r="B17" s="20" t="str">
        <x:v>PMID33658761</x:v>
      </x:c>
      <x:c r="C17" s="20" t="str">
        <x:v>Formononetin; Hederagenin; Jaranol; Kaempferol; Stigmasterol</x:v>
      </x:c>
      <x:c r="D17" s="20" t="str">
        <x:v>Flavonoids; Phytosterols; Triterpenoids</x:v>
      </x:c>
      <x:c r="E17" s="20" t="str">
        <x:v>Danggui Buxue Decoction in the Treatment of Metastatic Colon Cancer: Network Pharmacology Analysis and Experimental Validation.</x:v>
      </x:c>
      <x:c r="F17" s="20" t="str">
        <x:v>Extract/formula/decoction contextual evidence</x:v>
      </x:c>
      <x:c r="G17" s="20" t="str">
        <x:v>No</x:v>
      </x:c>
      <x:c r="H17" s="20" t="str">
        <x:v>No</x:v>
      </x:c>
      <x:c r="I17" s="20" t="str">
        <x:v>No</x:v>
      </x:c>
      <x:c r="J17" s="20" t="str">
        <x:v>No</x:v>
      </x:c>
      <x:c r="K17" s="20" t="str">
        <x:v>No</x:v>
      </x:c>
      <x:c r="L17" s="20" t="str">
        <x:v>No</x:v>
      </x:c>
      <x:c r="M17" s="20" t="str">
        <x:v>No</x:v>
      </x:c>
      <x:c r="N17" s="20" t="str">
        <x:v>Yes</x:v>
      </x:c>
      <x:c r="O17" s="20" t="str">
        <x:v>Yes</x:v>
      </x:c>
      <x:c r="P17" s="20" t="str">
        <x:v>No</x:v>
      </x:c>
      <x:c r="Q17" s="20" t="str">
        <x:v>计算模型：网络药理学分析；体内动物模型：转移性结肠癌小鼠模型 | 转移性结肠癌小鼠模型 Western blot</x:v>
      </x:c>
      <x:c r="R17" s="20" t="str">
        <x:v>not captured in source extraction</x:v>
      </x:c>
      <x:c r="S17" s="20" t="str">
        <x:v>Apoptosis/cell cycle; EMT/ECM/metastasis</x:v>
      </x:c>
      <x:c r="T17" s="20" t="str">
        <x:v>Context only; preparation effects are not assigned to an isolated monomer.</x:v>
      </x:c>
      <x:c r="U17" s="20" t="str">
        <x:v>2021</x:v>
      </x:c>
      <x:c r="V17" s="20" t="str">
        <x:v>2021/02/24</x:v>
      </x:c>
      <x:c r="W17" s="20" t="str">
        <x:v>Formononetin; Hederagenin; Jaranol; Kaempferol; Stigmasterol</x:v>
      </x:c>
      <x:c r="X17" s="20" t="str">
        <x:v>当归; 黄芪</x:v>
      </x:c>
      <x:c r="Y17" s="20" t="str">
        <x:v>Source-dependent—named Chinese medicinal material or TCM preparation recorded</x:v>
      </x:c>
      <x:c r="Z17" s="20" t="str">
        <x:v>Requires source-level constituent verification for the specific record</x:v>
      </x:c>
      <x:c r="AA17" s="20" t="str">
        <x:v>PMID 33658761; PMID33658761</x:v>
      </x:c>
      <x:c r="AB17" s="20" t="str">
        <x:v>Extract/formula/decoction contextual evidence</x:v>
      </x:c>
      <x:c r="AC17" s="20" t="str">
        <x:v>One unique PMID-linked reference</x:v>
      </x:c>
    </x:row>
    <x:row r="18">
      <x:c r="A18" s="20" t="str">
        <x:v>33663206</x:v>
      </x:c>
      <x:c r="B18" s="20" t="str">
        <x:v>PMID33663206</x:v>
      </x:c>
      <x:c r="C18" s="20" t="str">
        <x:v>Kaempferol</x:v>
      </x:c>
      <x:c r="D18" s="20" t="str">
        <x:v>Flavonoids</x:v>
      </x:c>
      <x:c r="E18" s="20" t="str">
        <x:v>Kaempferol Reverses Aerobic Glycolysis via miR-339-5p-Mediated PKM Alternative Splicing in Colon Cancer Cells.</x:v>
      </x:c>
      <x:c r="F18" s="20" t="str">
        <x:v>Cell-only isolated monomer evidence</x:v>
      </x:c>
      <x:c r="G18" s="20" t="str">
        <x:v>Yes</x:v>
      </x:c>
      <x:c r="H18" s="20" t="str">
        <x:v>No</x:v>
      </x:c>
      <x:c r="I18" s="20" t="str">
        <x:v>Yes</x:v>
      </x:c>
      <x:c r="J18" s="20" t="str">
        <x:v>No</x:v>
      </x:c>
      <x:c r="K18" s="20" t="str">
        <x:v>No</x:v>
      </x:c>
      <x:c r="L18" s="20" t="str">
        <x:v>No</x:v>
      </x:c>
      <x:c r="M18" s="20" t="str">
        <x:v>No</x:v>
      </x:c>
      <x:c r="N18" s="20" t="str">
        <x:v>No</x:v>
      </x:c>
      <x:c r="O18" s="20" t="str">
        <x:v>No</x:v>
      </x:c>
      <x:c r="P18" s="20" t="str">
        <x:v>No</x:v>
      </x:c>
      <x:c r="Q18" s="20" t="str">
        <x:v>人结肠癌细胞系：HCT116 和 DLD1</x:v>
      </x:c>
      <x:c r="R18" s="20" t="str">
        <x:v>not captured in source extraction</x:v>
      </x:c>
      <x:c r="S18" s="20" t="str">
        <x:v>Apoptosis/cell cycle; PI3K/Akt/mTOR/metabolism</x:v>
      </x:c>
      <x:c r="T18" s="20" t="str">
        <x:v>Direct mechanistic evidence requiring in vivo validation.</x:v>
      </x:c>
      <x:c r="U18" s="20" t="str">
        <x:v>2021</x:v>
      </x:c>
      <x:c r="V18" s="20" t="str">
        <x:v>2021/03/17</x:v>
      </x:c>
      <x:c r="W18" s="20" t="str">
        <x:v>Kaempferol</x:v>
      </x:c>
      <x:c r="X18" s="20" t="str">
        <x:v>天然黄酮类化合物</x:v>
      </x:c>
      <x:c r="Y18" s="20" t="str">
        <x:v>Not established from this row alone</x:v>
      </x:c>
      <x:c r="Z18" s="20" t="str">
        <x:v>Dietary, generic botanical, or non-specific natural-product source</x:v>
      </x:c>
      <x:c r="AA18" s="20" t="str">
        <x:v>PMID 33663206; PMID33663206</x:v>
      </x:c>
      <x:c r="AB18" s="20" t="str">
        <x:v>Purified isolated compound(s): Kaempferol</x:v>
      </x:c>
      <x:c r="AC18" s="20" t="str">
        <x:v>One unique PMID-linked reference</x:v>
      </x:c>
    </x:row>
    <x:row r="19">
      <x:c r="A19" s="20" t="str">
        <x:v>33688358</x:v>
      </x:c>
      <x:c r="B19" s="20" t="str">
        <x:v>PMID33688358</x:v>
      </x:c>
      <x:c r="C19" s="20" t="str">
        <x:v>Kaempferol; Stigmasterol</x:v>
      </x:c>
      <x:c r="D19" s="20" t="str">
        <x:v>Flavonoids; Phytosterols</x:v>
      </x:c>
      <x:c r="E19" s="20" t="str">
        <x:v>Network Pharmacology Interpretation of Fuzheng-Jiedu Decoction against Colorectal Cancer.</x:v>
      </x:c>
      <x:c r="F19" s="20" t="str">
        <x:v>Extract/formula/decoction contextual evidence</x:v>
      </x:c>
      <x:c r="G19" s="20" t="str">
        <x:v>No</x:v>
      </x:c>
      <x:c r="H19" s="20" t="str">
        <x:v>No</x:v>
      </x:c>
      <x:c r="I19" s="20" t="str">
        <x:v>No</x:v>
      </x:c>
      <x:c r="J19" s="20" t="str">
        <x:v>No</x:v>
      </x:c>
      <x:c r="K19" s="20" t="str">
        <x:v>Yes</x:v>
      </x:c>
      <x:c r="L19" s="20" t="str">
        <x:v>No</x:v>
      </x:c>
      <x:c r="M19" s="20" t="str">
        <x:v>No</x:v>
      </x:c>
      <x:c r="N19" s="20" t="str">
        <x:v>Yes</x:v>
      </x:c>
      <x:c r="O19" s="20" t="str">
        <x:v>Yes</x:v>
      </x:c>
      <x:c r="P19" s="20" t="str">
        <x:v>No</x:v>
      </x:c>
      <x:c r="Q19" s="20" t="str">
        <x:v>纯计算性网络药理学分析</x:v>
      </x:c>
      <x:c r="R19" s="20" t="str">
        <x:v>not captured in source extraction</x:v>
      </x:c>
      <x:c r="S19" s="20" t="str">
        <x:v>Apoptosis/cell cycle; EMT/ECM/metastasis; Immune microenvironment; MAPK/JNK/ERK; NF-kB/STAT3/inflammation; PI3K/Akt/mTOR/metabolism</x:v>
      </x:c>
      <x:c r="T19" s="20" t="str">
        <x:v>Context only; preparation effects are not assigned to an isolated monomer.</x:v>
      </x:c>
      <x:c r="U19" s="20" t="str">
        <x:v>2021</x:v>
      </x:c>
      <x:c r="V19" s="20" t="str">
        <x:v>2021/02/20</x:v>
      </x:c>
      <x:c r="W19" s="20" t="str">
        <x:v>Kaempferol; Stigmasterol</x:v>
      </x:c>
      <x:c r="X19" s="20" t="str">
        <x:v>扶正解毒方; 扶正解毒汤</x:v>
      </x:c>
      <x:c r="Y19" s="20" t="str">
        <x:v>Source-dependent—named Chinese medicinal material or TCM preparation recorded</x:v>
      </x:c>
      <x:c r="Z19" s="20" t="str">
        <x:v>Requires source-level constituent verification for the specific record</x:v>
      </x:c>
      <x:c r="AA19" s="20" t="str">
        <x:v>PMID 33688358; PMID33688358</x:v>
      </x:c>
      <x:c r="AB19" s="20" t="str">
        <x:v>Extract/formula/decoction contextual evidence</x:v>
      </x:c>
      <x:c r="AC19" s="20" t="str">
        <x:v>One unique PMID-linked reference</x:v>
      </x:c>
    </x:row>
    <x:row r="20">
      <x:c r="A20" s="20" t="str">
        <x:v>33757400</x:v>
      </x:c>
      <x:c r="B20" s="20" t="str">
        <x:v>PMID33757400</x:v>
      </x:c>
      <x:c r="C20" s="20" t="str">
        <x:v>Luteolin</x:v>
      </x:c>
      <x:c r="D20" s="20" t="str">
        <x:v>Flavonoids</x:v>
      </x:c>
      <x:c r="E20" s="20" t="str">
        <x:v>Luteolin Induces Apoptosis and Autophagy in HCT116 Colon Cancer Cells via p53-Dependent Pathway.</x:v>
      </x:c>
      <x:c r="F20" s="20" t="str">
        <x:v>Cell-only isolated monomer evidence</x:v>
      </x:c>
      <x:c r="G20" s="20" t="str">
        <x:v>Yes</x:v>
      </x:c>
      <x:c r="H20" s="20" t="str">
        <x:v>No</x:v>
      </x:c>
      <x:c r="I20" s="20" t="str">
        <x:v>Yes</x:v>
      </x:c>
      <x:c r="J20" s="20" t="str">
        <x:v>No</x:v>
      </x:c>
      <x:c r="K20" s="20" t="str">
        <x:v>No</x:v>
      </x:c>
      <x:c r="L20" s="20" t="str">
        <x:v>No</x:v>
      </x:c>
      <x:c r="M20" s="20" t="str">
        <x:v>No</x:v>
      </x:c>
      <x:c r="N20" s="20" t="str">
        <x:v>No</x:v>
      </x:c>
      <x:c r="O20" s="20" t="str">
        <x:v>No</x:v>
      </x:c>
      <x:c r="P20" s="20" t="str">
        <x:v>No</x:v>
      </x:c>
      <x:c r="Q20" s="20" t="str">
        <x:v>HCT116 结肠癌细胞</x:v>
      </x:c>
      <x:c r="R20" s="20" t="str">
        <x:v>10-20 µM luteolin (HCT116; PDF abstract)</x:v>
      </x:c>
      <x:c r="S20" s="20" t="str">
        <x:v>Apoptosis/cell cycle</x:v>
      </x:c>
      <x:c r="T20" s="20" t="str">
        <x:v>Direct mechanistic evidence requiring in vivo validation.</x:v>
      </x:c>
      <x:c r="U20" s="20" t="str">
        <x:v>2022</x:v>
      </x:c>
      <x:c r="V20" s="20" t="str">
        <x:v>2022/01/01</x:v>
      </x:c>
      <x:c r="W20" s="20" t="str">
        <x:v>Luteolin</x:v>
      </x:c>
      <x:c r="X20" s="20" t="str">
        <x:v>芹菜、欧芹、紫苏叶、辣椒和橙子</x:v>
      </x:c>
      <x:c r="Y20" s="20" t="str">
        <x:v>Not established from this row alone</x:v>
      </x:c>
      <x:c r="Z20" s="20" t="str">
        <x:v>Dietary, generic botanical, or non-specific natural-product source</x:v>
      </x:c>
      <x:c r="AA20" s="20" t="str">
        <x:v>PMID 33757400; PMID33757400</x:v>
      </x:c>
      <x:c r="AB20" s="20" t="str">
        <x:v>Purified isolated compound(s): Luteolin</x:v>
      </x:c>
      <x:c r="AC20" s="20" t="str">
        <x:v>One unique PMID-linked reference</x:v>
      </x:c>
    </x:row>
    <x:row r="21">
      <x:c r="A21" s="20" t="str">
        <x:v>33946531</x:v>
      </x:c>
      <x:c r="B21" s="20" t="str">
        <x:v>PMID33946531</x:v>
      </x:c>
      <x:c r="C21" s="20" t="str">
        <x:v>rhein</x:v>
      </x:c>
      <x:c r="D21" s="20" t="str">
        <x:v>Anthraquinones</x:v>
      </x:c>
      <x:c r="E21" s="20" t="str">
        <x:v>Rhein Suppresses Colorectal Cancer Cell Growth by Inhibiting the mTOR Pathway In Vitro and In Vivo.</x:v>
      </x:c>
      <x:c r="F21" s="20" t="str">
        <x:v>Animal-validated isolated monomer evidence</x:v>
      </x:c>
      <x:c r="G21" s="20" t="str">
        <x:v>Yes</x:v>
      </x:c>
      <x:c r="H21" s="20" t="str">
        <x:v>Yes</x:v>
      </x:c>
      <x:c r="I21" s="20" t="str">
        <x:v>No</x:v>
      </x:c>
      <x:c r="J21" s="20" t="str">
        <x:v>No</x:v>
      </x:c>
      <x:c r="K21" s="20" t="str">
        <x:v>No</x:v>
      </x:c>
      <x:c r="L21" s="20" t="str">
        <x:v>No</x:v>
      </x:c>
      <x:c r="M21" s="20" t="str">
        <x:v>No</x:v>
      </x:c>
      <x:c r="N21" s="20" t="str">
        <x:v>No</x:v>
      </x:c>
      <x:c r="O21" s="20" t="str">
        <x:v>No</x:v>
      </x:c>
      <x:c r="P21" s="20" t="str">
        <x:v>No</x:v>
      </x:c>
      <x:c r="Q21" s="20" t="str">
        <x:v>细胞模型人结直肠癌细胞系
体内实验模型： HCT116 细胞系来源的裸鼠异种移植瘤模型</x:v>
      </x:c>
      <x:c r="R21" s="20" t="str">
        <x:v>not captured in source extraction</x:v>
      </x:c>
      <x:c r="S21" s="20" t="str">
        <x:v>Apoptosis/cell cycle; EMT/ECM/metastasis; PI3K/Akt/mTOR/metabolism</x:v>
      </x:c>
      <x:c r="T21" s="20" t="str">
        <x:v>High-information direct preclinical evidence.</x:v>
      </x:c>
      <x:c r="U21" s="20" t="str">
        <x:v>2021</x:v>
      </x:c>
      <x:c r="V21" s="20" t="str">
        <x:v>2021/04/30</x:v>
      </x:c>
      <x:c r="W21" s="20" t="str">
        <x:v>rhein</x:v>
      </x:c>
      <x:c r="X21" s="20" t="str">
        <x:v>药用植物中，特别是大黄</x:v>
      </x:c>
      <x:c r="Y21" s="20" t="str">
        <x:v>Not established from supplied source field</x:v>
      </x:c>
      <x:c r="Z21" s="20" t="str">
        <x:v>Generic botanical, dietary, computational, or unspecified association</x:v>
      </x:c>
      <x:c r="AA21" s="20" t="str">
        <x:v>PMID 33946531; PMID33946531</x:v>
      </x:c>
      <x:c r="AB21" s="20" t="str">
        <x:v>Purified isolated compound(s): rhein</x:v>
      </x:c>
      <x:c r="AC21" s="20" t="str">
        <x:v>One unique PMID-linked reference</x:v>
      </x:c>
    </x:row>
    <x:row r="22">
      <x:c r="A22" s="20" t="str">
        <x:v>34059044</x:v>
      </x:c>
      <x:c r="B22" s="20" t="str">
        <x:v>PMID34059044</x:v>
      </x:c>
      <x:c r="C22" s="20" t="str">
        <x:v>silibinin</x:v>
      </x:c>
      <x:c r="D22" s="20" t="str">
        <x:v>Flavonoids</x:v>
      </x:c>
      <x:c r="E22" s="20" t="str">
        <x:v>Targeting the hallmarks of cancer: the effects of silibinin on proliferation, cell death, angiogenesis, and migration in colorectal cancer.</x:v>
      </x:c>
      <x:c r="F22" s="20" t="str">
        <x:v>Cell-only isolated monomer evidence</x:v>
      </x:c>
      <x:c r="G22" s="20" t="str">
        <x:v>Yes</x:v>
      </x:c>
      <x:c r="H22" s="20" t="str">
        <x:v>No</x:v>
      </x:c>
      <x:c r="I22" s="20" t="str">
        <x:v>Yes</x:v>
      </x:c>
      <x:c r="J22" s="20" t="str">
        <x:v>No</x:v>
      </x:c>
      <x:c r="K22" s="20" t="str">
        <x:v>No</x:v>
      </x:c>
      <x:c r="L22" s="20" t="str">
        <x:v>No</x:v>
      </x:c>
      <x:c r="M22" s="20" t="str">
        <x:v>No</x:v>
      </x:c>
      <x:c r="N22" s="20" t="str">
        <x:v>No</x:v>
      </x:c>
      <x:c r="O22" s="20" t="str">
        <x:v>No</x:v>
      </x:c>
      <x:c r="P22" s="20" t="str">
        <x:v>No</x:v>
      </x:c>
      <x:c r="Q22" s="20" t="str">
        <x:v>CT26 小鼠结肠癌细胞系（体外）</x:v>
      </x:c>
      <x:c r="R22" s="20" t="str">
        <x:v>not captured in source extraction</x:v>
      </x:c>
      <x:c r="S22" s="20" t="str">
        <x:v>Apoptosis/cell cycle; EMT/ECM/metastasis</x:v>
      </x:c>
      <x:c r="T22" s="20" t="str">
        <x:v>Direct mechanistic evidence requiring in vivo validation.</x:v>
      </x:c>
      <x:c r="U22" s="20" t="str">
        <x:v>2021</x:v>
      </x:c>
      <x:c r="V22" s="20" t="str">
        <x:v>2021/05/31</x:v>
      </x:c>
      <x:c r="W22" s="20" t="str">
        <x:v>silibinin</x:v>
      </x:c>
      <x:c r="X22" s="20" t="str">
        <x:v>奶蓟草</x:v>
      </x:c>
      <x:c r="Y22" s="20" t="str">
        <x:v>Not established from supplied source field</x:v>
      </x:c>
      <x:c r="Z22" s="20" t="str">
        <x:v>Generic botanical, dietary, computational, or unspecified association</x:v>
      </x:c>
      <x:c r="AA22" s="20" t="str">
        <x:v>PMID 34059044; PMID34059044</x:v>
      </x:c>
      <x:c r="AB22" s="20" t="str">
        <x:v>Purified isolated compound(s): silibinin</x:v>
      </x:c>
      <x:c r="AC22" s="20" t="str">
        <x:v>One unique PMID-linked reference</x:v>
      </x:c>
    </x:row>
    <x:row r="23">
      <x:c r="A23" s="20" t="str">
        <x:v>34125845</x:v>
      </x:c>
      <x:c r="B23" s="20" t="str">
        <x:v>PMID34125845</x:v>
      </x:c>
      <x:c r="C23" s="20" t="str">
        <x:v>Kaempferol; Stigmasterol</x:v>
      </x:c>
      <x:c r="D23" s="20" t="str">
        <x:v>Flavonoids; Phytosterols</x:v>
      </x:c>
      <x:c r="E23" s="20" t="str">
        <x:v>Network pharmacology and molecular docking study on the mechanism of colorectal cancer treatment using Xiao-Chai-Hu-Tang.</x:v>
      </x:c>
      <x:c r="F23" s="20" t="str">
        <x:v>Network pharmacology/in silico evidence</x:v>
      </x:c>
      <x:c r="G23" s="20" t="str">
        <x:v>No</x:v>
      </x:c>
      <x:c r="H23" s="20" t="str">
        <x:v>No</x:v>
      </x:c>
      <x:c r="I23" s="20" t="str">
        <x:v>No</x:v>
      </x:c>
      <x:c r="J23" s="20" t="str">
        <x:v>No</x:v>
      </x:c>
      <x:c r="K23" s="20" t="str">
        <x:v>No</x:v>
      </x:c>
      <x:c r="L23" s="20" t="str">
        <x:v>No</x:v>
      </x:c>
      <x:c r="M23" s="20" t="str">
        <x:v>No</x:v>
      </x:c>
      <x:c r="N23" s="20" t="str">
        <x:v>No</x:v>
      </x:c>
      <x:c r="O23" s="20" t="str">
        <x:v>Yes</x:v>
      </x:c>
      <x:c r="P23" s="20" t="str">
        <x:v>No</x:v>
      </x:c>
      <x:c r="Q23" s="20" t="str">
        <x:v>网络药理学 + 分子对接 | 纯计算性研究 | 分子对接</x:v>
      </x:c>
      <x:c r="R23" s="20" t="str">
        <x:v>not captured in source extraction</x:v>
      </x:c>
      <x:c r="S23" s="20" t="str">
        <x:v>Apoptosis/cell cycle; EMT/ECM/metastasis; MAPK/JNK/ERK; NF-kB/STAT3/inflammation; PI3K/Akt/mTOR/metabolism</x:v>
      </x:c>
      <x:c r="T23" s="20" t="str">
        <x:v>Hypothesis generation only unless supported by a separate direct record.</x:v>
      </x:c>
      <x:c r="U23" s="20" t="str">
        <x:v>2021</x:v>
      </x:c>
      <x:c r="V23" s="20" t="str">
        <x:v>2021/06/14</x:v>
      </x:c>
      <x:c r="W23" s="20" t="str">
        <x:v>Kaempferol; Stigmasterol</x:v>
      </x:c>
      <x:c r="X23" s="20" t="str">
        <x:v>小柴胡汤</x:v>
      </x:c>
      <x:c r="Y23" s="20" t="str">
        <x:v>Source-dependent—named Chinese medicinal material or TCM preparation recorded</x:v>
      </x:c>
      <x:c r="Z23" s="20" t="str">
        <x:v>Requires source-level constituent verification for the specific record</x:v>
      </x:c>
      <x:c r="AA23" s="20" t="str">
        <x:v>PMID 34125845; PMID34125845</x:v>
      </x:c>
      <x:c r="AB23" s="20" t="str">
        <x:v>Network pharmacology/in silico evidence</x:v>
      </x:c>
      <x:c r="AC23" s="20" t="str">
        <x:v>One unique PMID-linked reference</x:v>
      </x:c>
    </x:row>
    <x:row r="24">
      <x:c r="A24" s="20" t="str">
        <x:v>34146630</x:v>
      </x:c>
      <x:c r="B24" s="20" t="str">
        <x:v>PMID34146630</x:v>
      </x:c>
      <x:c r="C24" s="20" t="str">
        <x:v>amygdalin</x:v>
      </x:c>
      <x:c r="D24" s="20" t="str">
        <x:v>Cyanogenic glycosides</x:v>
      </x:c>
      <x:c r="E24" s="20" t="str">
        <x:v>Phytochemical characterization and biological activity of apricot kernels' extract in yeast-cell based tests and hepatocellular and colorectal carcinoma cell lines.</x:v>
      </x:c>
      <x:c r="F24" s="20" t="str">
        <x:v>Extract/formula/decoction contextual evidence</x:v>
      </x:c>
      <x:c r="G24" s="20" t="str">
        <x:v>No</x:v>
      </x:c>
      <x:c r="H24" s="20" t="str">
        <x:v>No</x:v>
      </x:c>
      <x:c r="I24" s="20" t="str">
        <x:v>No</x:v>
      </x:c>
      <x:c r="J24" s="20" t="str">
        <x:v>No</x:v>
      </x:c>
      <x:c r="K24" s="20" t="str">
        <x:v>No</x:v>
      </x:c>
      <x:c r="L24" s="20" t="str">
        <x:v>No</x:v>
      </x:c>
      <x:c r="M24" s="20" t="str">
        <x:v>No</x:v>
      </x:c>
      <x:c r="N24" s="20" t="str">
        <x:v>Yes</x:v>
      </x:c>
      <x:c r="O24" s="20" t="str">
        <x:v>No</x:v>
      </x:c>
      <x:c r="P24" s="20" t="str">
        <x:v>No</x:v>
      </x:c>
      <x:c r="Q24" s="20" t="str">
        <x:v>酵母（S. cerevisiae）+ 哺乳动物细胞（HepG2, HT-29, BJ 等）</x:v>
      </x:c>
      <x:c r="R24" s="20" t="str">
        <x:v>not captured in source extraction</x:v>
      </x:c>
      <x:c r="S24" s="20" t="str"/>
      <x:c r="T24" s="20" t="str">
        <x:v>Context only; preparation effects are not assigned to an isolated monomer.</x:v>
      </x:c>
      <x:c r="U24" s="20" t="str">
        <x:v>2021</x:v>
      </x:c>
      <x:c r="V24" s="20" t="str">
        <x:v>2021/10/28</x:v>
      </x:c>
      <x:c r="W24" s="20" t="str">
        <x:v>amygdalin</x:v>
      </x:c>
      <x:c r="X24" s="20" t="str">
        <x:v>保加利亚苦杏仁提取物</x:v>
      </x:c>
      <x:c r="Y24" s="20" t="str">
        <x:v>Not established from supplied source field</x:v>
      </x:c>
      <x:c r="Z24" s="20" t="str">
        <x:v>Generic botanical, dietary, computational, or unspecified association</x:v>
      </x:c>
      <x:c r="AA24" s="20" t="str">
        <x:v>PMID 34146630; PMID34146630</x:v>
      </x:c>
      <x:c r="AB24" s="20" t="str">
        <x:v>Extract/formula/decoction contextual evidence</x:v>
      </x:c>
      <x:c r="AC24" s="20" t="str">
        <x:v>One unique PMID-linked reference</x:v>
      </x:c>
    </x:row>
    <x:row r="25">
      <x:c r="A25" s="20" t="str">
        <x:v>34192810</x:v>
      </x:c>
      <x:c r="B25" s="20" t="str">
        <x:v>PMID34192810</x:v>
      </x:c>
      <x:c r="C25" s="20" t="str">
        <x:v>Honokiol</x:v>
      </x:c>
      <x:c r="D25" s="20" t="str">
        <x:v>Neolignans</x:v>
      </x:c>
      <x:c r="E25" s="20" t="str">
        <x:v>Honokiol inhibits proliferation of colorectal cancer cells by targeting Anoctamin 1/TMEM16A Ca2+-activated Cl- channels.</x:v>
      </x:c>
      <x:c r="F25" s="20" t="str">
        <x:v>Cell-only isolated monomer evidence</x:v>
      </x:c>
      <x:c r="G25" s="20" t="str">
        <x:v>Yes</x:v>
      </x:c>
      <x:c r="H25" s="20" t="str">
        <x:v>No</x:v>
      </x:c>
      <x:c r="I25" s="20" t="str">
        <x:v>Yes</x:v>
      </x:c>
      <x:c r="J25" s="20" t="str">
        <x:v>No</x:v>
      </x:c>
      <x:c r="K25" s="20" t="str">
        <x:v>Yes</x:v>
      </x:c>
      <x:c r="L25" s="20" t="str">
        <x:v>No</x:v>
      </x:c>
      <x:c r="M25" s="20" t="str">
        <x:v>No</x:v>
      </x:c>
      <x:c r="N25" s="20" t="str">
        <x:v>No</x:v>
      </x:c>
      <x:c r="O25" s="20" t="str">
        <x:v>No</x:v>
      </x:c>
      <x:c r="P25" s="20" t="str">
        <x:v>No</x:v>
      </x:c>
      <x:c r="Q25" s="20" t="str">
        <x:v>HEK293(Ano1/Ano2过表达)， SW620 细胞或人肠上皮 NCM460 细胞，</x:v>
      </x:c>
      <x:c r="R25" s="20" t="str">
        <x:v>not captured in source extraction</x:v>
      </x:c>
      <x:c r="S25" s="20" t="str">
        <x:v>Immune microenvironment</x:v>
      </x:c>
      <x:c r="T25" s="20" t="str">
        <x:v>Direct mechanistic evidence requiring in vivo validation.</x:v>
      </x:c>
      <x:c r="U25" s="20" t="str">
        <x:v>2021</x:v>
      </x:c>
      <x:c r="V25" s="20" t="str">
        <x:v>2021/10/01</x:v>
      </x:c>
      <x:c r="W25" s="20" t="str">
        <x:v>Honokiol</x:v>
      </x:c>
      <x:c r="X25" s="20" t="str">
        <x:v>木兰树</x:v>
      </x:c>
      <x:c r="Y25" s="20" t="str">
        <x:v>Yes—directly traceable in supplied records</x:v>
      </x:c>
      <x:c r="Z25" s="20" t="str">
        <x:v>Constituent of Houpo (Magnolia officinalis)</x:v>
      </x:c>
      <x:c r="AA25" s="20" t="str">
        <x:v>PMID 34192810; PMID34192810</x:v>
      </x:c>
      <x:c r="AB25" s="20" t="str">
        <x:v>Purified isolated compound(s): Honokiol</x:v>
      </x:c>
      <x:c r="AC25" s="20" t="str">
        <x:v>One unique PMID-linked reference</x:v>
      </x:c>
    </x:row>
    <x:row r="26">
      <x:c r="A26" s="20" t="str">
        <x:v>34206989</x:v>
      </x:c>
      <x:c r="B26" s="20" t="str">
        <x:v>PMID34206989</x:v>
      </x:c>
      <x:c r="C26" s="20" t="str">
        <x:v>Honokiol</x:v>
      </x:c>
      <x:c r="D26" s="20" t="str">
        <x:v>Neolignans</x:v>
      </x:c>
      <x:c r="E26" s="20" t="str">
        <x:v>Honokiol Affects Stem Cell Viability by Suppressing Oncogenic YAP1 Function to Inhibit Colon Tumorigenesis.</x:v>
      </x:c>
      <x:c r="F26" s="20" t="str">
        <x:v>Animal-validated isolated monomer evidence</x:v>
      </x:c>
      <x:c r="G26" s="20" t="str">
        <x:v>Yes</x:v>
      </x:c>
      <x:c r="H26" s="20" t="str">
        <x:v>Yes</x:v>
      </x:c>
      <x:c r="I26" s="20" t="str">
        <x:v>No</x:v>
      </x:c>
      <x:c r="J26" s="20" t="str">
        <x:v>No</x:v>
      </x:c>
      <x:c r="K26" s="20" t="str">
        <x:v>No</x:v>
      </x:c>
      <x:c r="L26" s="20" t="str">
        <x:v>No</x:v>
      </x:c>
      <x:c r="M26" s="20" t="str">
        <x:v>No</x:v>
      </x:c>
      <x:c r="N26" s="20" t="str">
        <x:v>No</x:v>
      </x:c>
      <x:c r="O26" s="20" t="str">
        <x:v>No</x:v>
      </x:c>
      <x:c r="P26" s="20" t="str">
        <x:v>No</x:v>
      </x:c>
      <x:c r="Q26" s="20" t="str">
        <x:v>体外：结肠癌细胞、结肠球形成；体内：AOM/DSS 小鼠结肠炎相关癌模型</x:v>
      </x:c>
      <x:c r="R26" s="20" t="str">
        <x:v>not captured in source extraction</x:v>
      </x:c>
      <x:c r="S26" s="20" t="str">
        <x:v>Apoptosis/cell cycle; Wnt/beta-catenin/stemness</x:v>
      </x:c>
      <x:c r="T26" s="20" t="str">
        <x:v>High-information direct preclinical evidence.</x:v>
      </x:c>
      <x:c r="U26" s="20" t="str">
        <x:v>2021</x:v>
      </x:c>
      <x:c r="V26" s="20" t="str">
        <x:v>2021/06/26</x:v>
      </x:c>
      <x:c r="W26" s="20" t="str">
        <x:v>Honokiol</x:v>
      </x:c>
      <x:c r="X26" s="20" t="str">
        <x:v>厚朴植物的叶子、树皮和根。</x:v>
      </x:c>
      <x:c r="Y26" s="20" t="str">
        <x:v>Yes—directly traceable in supplied records</x:v>
      </x:c>
      <x:c r="Z26" s="20" t="str">
        <x:v>Constituent of Houpo (Magnolia officinalis)</x:v>
      </x:c>
      <x:c r="AA26" s="20" t="str">
        <x:v>PMID 34206989; PMID34206989</x:v>
      </x:c>
      <x:c r="AB26" s="20" t="str">
        <x:v>Purified isolated compound(s): Honokiol</x:v>
      </x:c>
      <x:c r="AC26" s="20" t="str">
        <x:v>One unique PMID-linked reference</x:v>
      </x:c>
    </x:row>
    <x:row r="27">
      <x:c r="A27" s="20" t="str">
        <x:v>34219464</x:v>
      </x:c>
      <x:c r="B27" s="20" t="str">
        <x:v>PMID34219464</x:v>
      </x:c>
      <x:c r="C27" s="20" t="str">
        <x:v>Isovitexin</x:v>
      </x:c>
      <x:c r="D27" s="20" t="str">
        <x:v>Flavonoids</x:v>
      </x:c>
      <x:c r="E27" s="20" t="str">
        <x:v>Isovitexin attenuates tumor growth in human colon cancer cells through the modulation of apoptosis and epithelial-mesenchymal transition via PI3K/Akt/mTOR signaling pathway.</x:v>
      </x:c>
      <x:c r="F27" s="20" t="str">
        <x:v>Cell-only isolated monomer evidence</x:v>
      </x:c>
      <x:c r="G27" s="20" t="str">
        <x:v>Yes</x:v>
      </x:c>
      <x:c r="H27" s="20" t="str">
        <x:v>No</x:v>
      </x:c>
      <x:c r="I27" s="20" t="str">
        <x:v>Yes</x:v>
      </x:c>
      <x:c r="J27" s="20" t="str">
        <x:v>No</x:v>
      </x:c>
      <x:c r="K27" s="20" t="str">
        <x:v>No</x:v>
      </x:c>
      <x:c r="L27" s="20" t="str">
        <x:v>No</x:v>
      </x:c>
      <x:c r="M27" s="20" t="str">
        <x:v>No</x:v>
      </x:c>
      <x:c r="N27" s="20" t="str">
        <x:v>No</x:v>
      </x:c>
      <x:c r="O27" s="20" t="str">
        <x:v>No</x:v>
      </x:c>
      <x:c r="P27" s="20" t="str">
        <x:v>No</x:v>
      </x:c>
      <x:c r="Q27" s="20" t="str">
        <x:v>人结肠上皮细胞 （HCEC） 和癌细胞</x:v>
      </x:c>
      <x:c r="R27" s="20" t="str">
        <x:v>not captured in source extraction</x:v>
      </x:c>
      <x:c r="S27" s="20" t="str">
        <x:v>Apoptosis/cell cycle; EMT/ECM/metastasis; PI3K/Akt/mTOR/metabolism</x:v>
      </x:c>
      <x:c r="T27" s="20" t="str">
        <x:v>Direct mechanistic evidence requiring in vivo validation.</x:v>
      </x:c>
      <x:c r="U27" s="20" t="str">
        <x:v>2021</x:v>
      </x:c>
      <x:c r="V27" s="20" t="str">
        <x:v>2021/12/01</x:v>
      </x:c>
      <x:c r="W27" s="20" t="str">
        <x:v>Isovitexin</x:v>
      </x:c>
      <x:c r="X27" s="20" t="str">
        <x:v>葫芦科果实或木豆、小麦、三角果和竹叶的果实</x:v>
      </x:c>
      <x:c r="Y27" s="20" t="str">
        <x:v>Not established from supplied source field</x:v>
      </x:c>
      <x:c r="Z27" s="20" t="str">
        <x:v>Generic botanical, dietary, computational, or unspecified association</x:v>
      </x:c>
      <x:c r="AA27" s="20" t="str">
        <x:v>PMID 34219464; PMID34219464</x:v>
      </x:c>
      <x:c r="AB27" s="20" t="str">
        <x:v>Purified isolated compound(s): Isovitexin</x:v>
      </x:c>
      <x:c r="AC27" s="20" t="str">
        <x:v>One unique PMID-linked reference</x:v>
      </x:c>
    </x:row>
    <x:row r="28">
      <x:c r="A28" s="20" t="str">
        <x:v>34308509</x:v>
      </x:c>
      <x:c r="B28" s="20" t="str">
        <x:v>PMID34308509</x:v>
      </x:c>
      <x:c r="C28" s="20" t="str">
        <x:v>catechin</x:v>
      </x:c>
      <x:c r="D28" s="20" t="str">
        <x:v>Flavonoids</x:v>
      </x:c>
      <x:c r="E28" s="20" t="str">
        <x:v>Green tea catechins in combination with irinotecan attenuates tumorigenesis and treatment-associated toxicity in an inflammation-associated colon cancer mice model.</x:v>
      </x:c>
      <x:c r="F28" s="20" t="str">
        <x:v>Extract/formula/decoction contextual evidence</x:v>
      </x:c>
      <x:c r="G28" s="20" t="str">
        <x:v>No</x:v>
      </x:c>
      <x:c r="H28" s="20" t="str">
        <x:v>No</x:v>
      </x:c>
      <x:c r="I28" s="20" t="str">
        <x:v>No</x:v>
      </x:c>
      <x:c r="J28" s="20" t="str">
        <x:v>Yes</x:v>
      </x:c>
      <x:c r="K28" s="20" t="str">
        <x:v>No</x:v>
      </x:c>
      <x:c r="L28" s="20" t="str">
        <x:v>No</x:v>
      </x:c>
      <x:c r="M28" s="20" t="str">
        <x:v>No</x:v>
      </x:c>
      <x:c r="N28" s="20" t="str">
        <x:v>Yes</x:v>
      </x:c>
      <x:c r="O28" s="20" t="str">
        <x:v>No</x:v>
      </x:c>
      <x:c r="P28" s="20" t="str">
        <x:v>No</x:v>
      </x:c>
      <x:c r="Q28" s="20" t="str">
        <x:v>AOM/DSS 诱导的炎症相关结肠癌小鼠模型</x:v>
      </x:c>
      <x:c r="R28" s="20" t="str">
        <x:v>not captured in source extraction</x:v>
      </x:c>
      <x:c r="S28" s="20" t="str">
        <x:v>NF-kB/STAT3/inflammation</x:v>
      </x:c>
      <x:c r="T28" s="20" t="str">
        <x:v>Context only; preparation effects are not assigned to an isolated monomer.</x:v>
      </x:c>
      <x:c r="U28" s="20" t="str">
        <x:v>2021</x:v>
      </x:c>
      <x:c r="V28" s="20" t="str">
        <x:v>2021/07/26</x:v>
      </x:c>
      <x:c r="W28" s="20" t="str">
        <x:v>catechin</x:v>
      </x:c>
      <x:c r="X28" s="20" t="str">
        <x:v>绿茶</x:v>
      </x:c>
      <x:c r="Y28" s="20" t="str">
        <x:v>Not established from supplied source field</x:v>
      </x:c>
      <x:c r="Z28" s="20" t="str">
        <x:v>Generic botanical, dietary, computational, or unspecified association</x:v>
      </x:c>
      <x:c r="AA28" s="20" t="str">
        <x:v>PMID 34308509; PMID34308509</x:v>
      </x:c>
      <x:c r="AB28" s="20" t="str">
        <x:v>Extract/formula/decoction contextual evidence</x:v>
      </x:c>
      <x:c r="AC28" s="20" t="str">
        <x:v>One unique PMID-linked reference</x:v>
      </x:c>
    </x:row>
    <x:row r="29">
      <x:c r="A29" s="20" t="str">
        <x:v>34309458</x:v>
      </x:c>
      <x:c r="B29" s="20" t="str">
        <x:v>PMID34309458</x:v>
      </x:c>
      <x:c r="C29" s="20" t="str">
        <x:v>Luteolin</x:v>
      </x:c>
      <x:c r="D29" s="20" t="str">
        <x:v>Flavonoids</x:v>
      </x:c>
      <x:c r="E29" s="20" t="str">
        <x:v>Quercetin and Luteolin Improve the Anticancer Effects of 5-Fluorouracil in Human Colorectal Adenocarcinoma In Vitro Model: A Mechanistic Insight.</x:v>
      </x:c>
      <x:c r="F29" s="20" t="str">
        <x:v>Cell-only isolated monomer evidence</x:v>
      </x:c>
      <x:c r="G29" s="20" t="str">
        <x:v>Yes</x:v>
      </x:c>
      <x:c r="H29" s="20" t="str">
        <x:v>No</x:v>
      </x:c>
      <x:c r="I29" s="20" t="str">
        <x:v>Yes</x:v>
      </x:c>
      <x:c r="J29" s="20" t="str">
        <x:v>Yes</x:v>
      </x:c>
      <x:c r="K29" s="20" t="str">
        <x:v>No</x:v>
      </x:c>
      <x:c r="L29" s="20" t="str">
        <x:v>No</x:v>
      </x:c>
      <x:c r="M29" s="20" t="str">
        <x:v>No</x:v>
      </x:c>
      <x:c r="N29" s="20" t="str">
        <x:v>No</x:v>
      </x:c>
      <x:c r="O29" s="20" t="str">
        <x:v>No</x:v>
      </x:c>
      <x:c r="P29" s="20" t="str">
        <x:v>No</x:v>
      </x:c>
      <x:c r="Q29" s="20" t="str">
        <x:v>HT-29 人结肠癌细胞系（体外模型）</x:v>
      </x:c>
      <x:c r="R29" s="20" t="str">
        <x:v>not captured in source extraction</x:v>
      </x:c>
      <x:c r="S29" s="20" t="str">
        <x:v>Apoptosis/cell cycle; MAPK/JNK/ERK; PI3K/Akt/mTOR/metabolism</x:v>
      </x:c>
      <x:c r="T29" s="20" t="str">
        <x:v>Direct mechanistic evidence requiring in vivo validation.</x:v>
      </x:c>
      <x:c r="U29" s="20" t="str">
        <x:v>2022</x:v>
      </x:c>
      <x:c r="V29" s="20" t="str">
        <x:v>2022/01/01</x:v>
      </x:c>
      <x:c r="W29" s="20" t="str">
        <x:v>Luteolin</x:v>
      </x:c>
      <x:c r="X29" s="20" t="str">
        <x:v>药材、日常饮食中食用的水果和蔬菜</x:v>
      </x:c>
      <x:c r="Y29" s="20" t="str">
        <x:v>Source-dependent—named Chinese medicinal material or TCM preparation recorded</x:v>
      </x:c>
      <x:c r="Z29" s="20" t="str">
        <x:v>Requires source-level constituent verification for the specific record</x:v>
      </x:c>
      <x:c r="AA29" s="20" t="str">
        <x:v>PMID 34309458; PMID34309458</x:v>
      </x:c>
      <x:c r="AB29" s="20" t="str">
        <x:v>Purified isolated compound(s): Luteolin</x:v>
      </x:c>
      <x:c r="AC29" s="20" t="str">
        <x:v>One unique PMID-linked reference</x:v>
      </x:c>
    </x:row>
    <x:row r="30">
      <x:c r="A30" s="20" t="str">
        <x:v>34345202</x:v>
      </x:c>
      <x:c r="B30" s="20" t="str">
        <x:v>PMID34345202</x:v>
      </x:c>
      <x:c r="C30" s="20" t="str">
        <x:v>Tagitinin C</x:v>
      </x:c>
      <x:c r="D30" s="20" t="str">
        <x:v>Sesquiterpene lactones</x:v>
      </x:c>
      <x:c r="E30" s="20" t="str">
        <x:v>Tagitinin C induces ferroptosis through PERK-Nrf2-HO-1 signaling pathway in colorectal cancer cells.</x:v>
      </x:c>
      <x:c r="F30" s="20" t="str">
        <x:v>Cell-only isolated monomer evidence</x:v>
      </x:c>
      <x:c r="G30" s="20" t="str">
        <x:v>Yes</x:v>
      </x:c>
      <x:c r="H30" s="20" t="str">
        <x:v>No</x:v>
      </x:c>
      <x:c r="I30" s="20" t="str">
        <x:v>Yes</x:v>
      </x:c>
      <x:c r="J30" s="20" t="str">
        <x:v>Yes</x:v>
      </x:c>
      <x:c r="K30" s="20" t="str">
        <x:v>No</x:v>
      </x:c>
      <x:c r="L30" s="20" t="str">
        <x:v>Yes</x:v>
      </x:c>
      <x:c r="M30" s="20" t="str">
        <x:v>No</x:v>
      </x:c>
      <x:c r="N30" s="20" t="str">
        <x:v>No</x:v>
      </x:c>
      <x:c r="O30" s="20" t="str">
        <x:v>No</x:v>
      </x:c>
      <x:c r="P30" s="20" t="str">
        <x:v>No</x:v>
      </x:c>
      <x:c r="Q30" s="20" t="str">
        <x:v>结直肠癌细胞系 HCT116</x:v>
      </x:c>
      <x:c r="R30" s="20" t="str">
        <x:v>not captured in source extraction</x:v>
      </x:c>
      <x:c r="S30" s="20" t="str">
        <x:v>EMT/ECM/metastasis; MAPK/JNK/ERK; ROS/ferroptosis</x:v>
      </x:c>
      <x:c r="T30" s="20" t="str">
        <x:v>Direct mechanistic evidence requiring in vivo validation.</x:v>
      </x:c>
      <x:c r="U30" s="20" t="str">
        <x:v>2021</x:v>
      </x:c>
      <x:c r="V30" s="20" t="str">
        <x:v>2021/06/26</x:v>
      </x:c>
      <x:c r="W30" s="20" t="str">
        <x:v>Tagitinin C</x:v>
      </x:c>
      <x:c r="X30" s="20" t="str">
        <x:v>Tithonia diversifolia肿柄菊</x:v>
      </x:c>
      <x:c r="Y30" s="20" t="str">
        <x:v>Not established from supplied source field</x:v>
      </x:c>
      <x:c r="Z30" s="20" t="str">
        <x:v>Generic botanical, dietary, computational, or unspecified association</x:v>
      </x:c>
      <x:c r="AA30" s="20" t="str">
        <x:v>PMID 34345202; PMID34345202</x:v>
      </x:c>
      <x:c r="AB30" s="20" t="str">
        <x:v>Purified isolated compound(s): Tagitinin C</x:v>
      </x:c>
      <x:c r="AC30" s="20" t="str">
        <x:v>One unique PMID-linked reference</x:v>
      </x:c>
    </x:row>
    <x:row r="31">
      <x:c r="A31" s="20" t="str">
        <x:v>34503424</x:v>
      </x:c>
      <x:c r="B31" s="20" t="str">
        <x:v>PMID34503424</x:v>
      </x:c>
      <x:c r="C31" s="20" t="str">
        <x:v>Luteolin</x:v>
      </x:c>
      <x:c r="D31" s="20" t="str">
        <x:v>Flavonoids</x:v>
      </x:c>
      <x:c r="E31" s="20" t="str">
        <x:v>Anticancer Effect and Phytochemical Profile of the Extract from Achillea ketenoglui against Human Colorectal Cancer Cell Lines.</x:v>
      </x:c>
      <x:c r="F31" s="20" t="str">
        <x:v>Extract/formula/decoction contextual evidence</x:v>
      </x:c>
      <x:c r="G31" s="20" t="str">
        <x:v>No</x:v>
      </x:c>
      <x:c r="H31" s="20" t="str">
        <x:v>No</x:v>
      </x:c>
      <x:c r="I31" s="20" t="str">
        <x:v>No</x:v>
      </x:c>
      <x:c r="J31" s="20" t="str">
        <x:v>No</x:v>
      </x:c>
      <x:c r="K31" s="20" t="str">
        <x:v>No</x:v>
      </x:c>
      <x:c r="L31" s="20" t="str">
        <x:v>No</x:v>
      </x:c>
      <x:c r="M31" s="20" t="str">
        <x:v>No</x:v>
      </x:c>
      <x:c r="N31" s="20" t="str">
        <x:v>Yes</x:v>
      </x:c>
      <x:c r="O31" s="20" t="str">
        <x:v>No</x:v>
      </x:c>
      <x:c r="P31" s="20" t="str">
        <x:v>No</x:v>
      </x:c>
      <x:c r="Q31" s="20" t="str">
        <x:v>HCT116 和 HT-29 人结直肠癌细胞系</x:v>
      </x:c>
      <x:c r="R31" s="20" t="str">
        <x:v>not captured in source extraction</x:v>
      </x:c>
      <x:c r="S31" s="20" t="str">
        <x:v>Apoptosis/cell cycle</x:v>
      </x:c>
      <x:c r="T31" s="20" t="str">
        <x:v>Context only; preparation effects are not assigned to an isolated monomer.</x:v>
      </x:c>
      <x:c r="U31" s="20" t="str">
        <x:v>2022</x:v>
      </x:c>
      <x:c r="V31" s="20" t="str">
        <x:v>2022/01/01</x:v>
      </x:c>
      <x:c r="W31" s="20" t="str">
        <x:v>Luteolin</x:v>
      </x:c>
      <x:c r="X31" s="20" t="str">
        <x:v>Achillea ketenoglui 提取物</x:v>
      </x:c>
      <x:c r="Y31" s="20" t="str">
        <x:v>Not established from this row alone</x:v>
      </x:c>
      <x:c r="Z31" s="20" t="str">
        <x:v>Dietary, generic botanical, or non-specific natural-product source</x:v>
      </x:c>
      <x:c r="AA31" s="20" t="str">
        <x:v>PMID 34503424; PMID34503424</x:v>
      </x:c>
      <x:c r="AB31" s="20" t="str">
        <x:v>Extract/formula/decoction contextual evidence</x:v>
      </x:c>
      <x:c r="AC31" s="20" t="str">
        <x:v>One unique PMID-linked reference</x:v>
      </x:c>
    </x:row>
    <x:row r="32">
      <x:c r="A32" s="20" t="str">
        <x:v>34649363</x:v>
      </x:c>
      <x:c r="B32" s="20" t="str">
        <x:v>PMID34649363</x:v>
      </x:c>
      <x:c r="C32" s="20" t="str">
        <x:v>Luteolin</x:v>
      </x:c>
      <x:c r="D32" s="20" t="str">
        <x:v>Flavonoids</x:v>
      </x:c>
      <x:c r="E32" s="20" t="str">
        <x:v>Antiproliferative and palliative activity of flavonoids in colorectal cancer.</x:v>
      </x:c>
      <x:c r="F32" s="20" t="str">
        <x:v>Cell-only isolated monomer evidence</x:v>
      </x:c>
      <x:c r="G32" s="20" t="str">
        <x:v>Yes</x:v>
      </x:c>
      <x:c r="H32" s="20" t="str">
        <x:v>No</x:v>
      </x:c>
      <x:c r="I32" s="20" t="str">
        <x:v>Yes</x:v>
      </x:c>
      <x:c r="J32" s="20" t="str">
        <x:v>No</x:v>
      </x:c>
      <x:c r="K32" s="20" t="str">
        <x:v>No</x:v>
      </x:c>
      <x:c r="L32" s="20" t="str">
        <x:v>No</x:v>
      </x:c>
      <x:c r="M32" s="20" t="str">
        <x:v>No</x:v>
      </x:c>
      <x:c r="N32" s="20" t="str">
        <x:v>No</x:v>
      </x:c>
      <x:c r="O32" s="20" t="str">
        <x:v>No</x:v>
      </x:c>
      <x:c r="P32" s="20" t="str">
        <x:v>No</x:v>
      </x:c>
      <x:c r="Q32" s="20" t="str">
        <x:v>HCT116、HT-29、T84 三种人结直肠癌细胞系</x:v>
      </x:c>
      <x:c r="R32" s="20" t="str">
        <x:v>not captured in source extraction</x:v>
      </x:c>
      <x:c r="S32" s="20" t="str"/>
      <x:c r="T32" s="20" t="str">
        <x:v>Direct mechanistic evidence requiring in vivo validation.</x:v>
      </x:c>
      <x:c r="U32" s="20" t="str">
        <x:v>2021</x:v>
      </x:c>
      <x:c r="V32" s="20" t="str">
        <x:v>2021/11/01</x:v>
      </x:c>
      <x:c r="W32" s="20" t="str">
        <x:v>Luteolin</x:v>
      </x:c>
      <x:c r="X32" s="20" t="str">
        <x:v>橄榄油、草药（鼠尾草、百里香、迷迭香）和其他食物（扁豆、开心果、橄榄、朝鲜蓟）</x:v>
      </x:c>
      <x:c r="Y32" s="20" t="str">
        <x:v>Not established from this row alone</x:v>
      </x:c>
      <x:c r="Z32" s="20" t="str">
        <x:v>Dietary, generic botanical, or non-specific natural-product source</x:v>
      </x:c>
      <x:c r="AA32" s="20" t="str">
        <x:v>PMID 34649363; PMID34649363</x:v>
      </x:c>
      <x:c r="AB32" s="20" t="str">
        <x:v>Purified isolated compound(s): Luteolin</x:v>
      </x:c>
      <x:c r="AC32" s="20" t="str">
        <x:v>One unique PMID-linked reference</x:v>
      </x:c>
    </x:row>
    <x:row r="33">
      <x:c r="A33" s="20" t="str">
        <x:v>34750753</x:v>
      </x:c>
      <x:c r="B33" s="20" t="str">
        <x:v>PMID34750753</x:v>
      </x:c>
      <x:c r="C33" s="20" t="str">
        <x:v>Kaempferol</x:v>
      </x:c>
      <x:c r="D33" s="20" t="str">
        <x:v>Flavonoids</x:v>
      </x:c>
      <x:c r="E33" s="20" t="str">
        <x:v>Kaempferol sensitizes cell proliferation inhibition in oxaliplatin-resistant colon cancer cells.</x:v>
      </x:c>
      <x:c r="F33" s="20" t="str">
        <x:v>Cell-only isolated monomer evidence</x:v>
      </x:c>
      <x:c r="G33" s="20" t="str">
        <x:v>Yes</x:v>
      </x:c>
      <x:c r="H33" s="20" t="str">
        <x:v>No</x:v>
      </x:c>
      <x:c r="I33" s="20" t="str">
        <x:v>Yes</x:v>
      </x:c>
      <x:c r="J33" s="20" t="str">
        <x:v>Yes</x:v>
      </x:c>
      <x:c r="K33" s="20" t="str">
        <x:v>No</x:v>
      </x:c>
      <x:c r="L33" s="20" t="str">
        <x:v>No</x:v>
      </x:c>
      <x:c r="M33" s="20" t="str">
        <x:v>No</x:v>
      </x:c>
      <x:c r="N33" s="20" t="str">
        <x:v>No</x:v>
      </x:c>
      <x:c r="O33" s="20" t="str">
        <x:v>No</x:v>
      </x:c>
      <x:c r="P33" s="20" t="str">
        <x:v>No</x:v>
      </x:c>
      <x:c r="Q33" s="20" t="str">
        <x:v>体外细胞模型：
奥沙利铂敏感型 HCT116 细胞（HCT116-OxS）
奥沙利铂耐药型 HCT116 细胞（HCT116-OxR）
HT29 结肠癌细胞</x:v>
      </x:c>
      <x:c r="R33" s="20" t="str">
        <x:v>not captured in source extraction</x:v>
      </x:c>
      <x:c r="S33" s="20" t="str">
        <x:v>MAPK/JNK/ERK; PI3K/Akt/mTOR/metabolism</x:v>
      </x:c>
      <x:c r="T33" s="20" t="str">
        <x:v>Direct mechanistic evidence requiring in vivo validation.</x:v>
      </x:c>
      <x:c r="U33" s="20" t="str">
        <x:v>2021</x:v>
      </x:c>
      <x:c r="V33" s="20" t="str">
        <x:v>2021/12/01</x:v>
      </x:c>
      <x:c r="W33" s="20" t="str">
        <x:v>Kaempferol</x:v>
      </x:c>
      <x:c r="X33" s="20" t="str">
        <x:v>大葱和菊苣的叶子中</x:v>
      </x:c>
      <x:c r="Y33" s="20" t="str">
        <x:v>Not established from this row alone</x:v>
      </x:c>
      <x:c r="Z33" s="20" t="str">
        <x:v>Dietary, generic botanical, or non-specific natural-product source</x:v>
      </x:c>
      <x:c r="AA33" s="20" t="str">
        <x:v>PMID 34750753; PMID34750753</x:v>
      </x:c>
      <x:c r="AB33" s="20" t="str">
        <x:v>Purified isolated compound(s): Kaempferol</x:v>
      </x:c>
      <x:c r="AC33" s="20" t="str">
        <x:v>One unique PMID-linked reference</x:v>
      </x:c>
    </x:row>
    <x:row r="34">
      <x:c r="A34" s="20" t="str">
        <x:v>34781857</x:v>
      </x:c>
      <x:c r="B34" s="20" t="str">
        <x:v>PMID34781857</x:v>
      </x:c>
      <x:c r="C34" s="20" t="str">
        <x:v>Kaempferol; isorhamnetin</x:v>
      </x:c>
      <x:c r="D34" s="20" t="str">
        <x:v>Flavonoids</x:v>
      </x:c>
      <x:c r="E34" s="20" t="str">
        <x:v>Network Pharmacology Analysis to Explore the Pharmacological Mechanism of Effective Chinese Medicines in Treating Metastatic Colorectal Cancer using Meta-Analysis Approach.</x:v>
      </x:c>
      <x:c r="F34" s="20" t="str">
        <x:v>Network pharmacology/in silico evidence</x:v>
      </x:c>
      <x:c r="G34" s="20" t="str">
        <x:v>No</x:v>
      </x:c>
      <x:c r="H34" s="20" t="str">
        <x:v>No</x:v>
      </x:c>
      <x:c r="I34" s="20" t="str">
        <x:v>No</x:v>
      </x:c>
      <x:c r="J34" s="20" t="str">
        <x:v>No</x:v>
      </x:c>
      <x:c r="K34" s="20" t="str">
        <x:v>No</x:v>
      </x:c>
      <x:c r="L34" s="20" t="str">
        <x:v>No</x:v>
      </x:c>
      <x:c r="M34" s="20" t="str">
        <x:v>No</x:v>
      </x:c>
      <x:c r="N34" s="20" t="str">
        <x:v>No</x:v>
      </x:c>
      <x:c r="O34" s="20" t="str">
        <x:v>Yes</x:v>
      </x:c>
      <x:c r="P34" s="20" t="str">
        <x:v>No</x:v>
      </x:c>
      <x:c r="Q34" s="20" t="str">
        <x:v>基于临床 RCT 荟萃分析 + 网络药理学预测</x:v>
      </x:c>
      <x:c r="R34" s="20" t="str">
        <x:v>not captured in source extraction</x:v>
      </x:c>
      <x:c r="S34" s="20" t="str">
        <x:v>EMT/ECM/metastasis; MAPK/JNK/ERK; NF-kB/STAT3/inflammation</x:v>
      </x:c>
      <x:c r="T34" s="20" t="str">
        <x:v>Hypothesis generation only unless supported by a separate direct record.</x:v>
      </x:c>
      <x:c r="U34" s="20" t="str">
        <x:v>2021</x:v>
      </x:c>
      <x:c r="V34" s="20" t="str">
        <x:v>2021/01/01</x:v>
      </x:c>
      <x:c r="W34" s="20" t="str">
        <x:v>Kaempferol; isorhamnetin</x:v>
      </x:c>
      <x:c r="X34" s="20" t="str">
        <x:v>治疗 mCRC 的高频中药复方</x:v>
      </x:c>
      <x:c r="Y34" s="20" t="str">
        <x:v>Source-dependent—named Chinese medicinal material or TCM preparation recorded</x:v>
      </x:c>
      <x:c r="Z34" s="20" t="str">
        <x:v>Requires source-level constituent verification for the specific record</x:v>
      </x:c>
      <x:c r="AA34" s="20" t="str">
        <x:v>PMID 34781857; PMID34781857</x:v>
      </x:c>
      <x:c r="AB34" s="20" t="str">
        <x:v>Network pharmacology/in silico evidence</x:v>
      </x:c>
      <x:c r="AC34" s="20" t="str">
        <x:v>One unique PMID-linked reference</x:v>
      </x:c>
    </x:row>
    <x:row r="35">
      <x:c r="A35" s="20" t="str">
        <x:v>34786663</x:v>
      </x:c>
      <x:c r="B35" s="20" t="str">
        <x:v>PMID34786663</x:v>
      </x:c>
      <x:c r="C35" s="20" t="str">
        <x:v>isorhamnetin</x:v>
      </x:c>
      <x:c r="D35" s="20" t="str">
        <x:v>Flavonoids</x:v>
      </x:c>
      <x:c r="E35" s="20" t="str">
        <x:v>Opuntia ficus-indica Extract and Isorhamnetin-3-O-Glucosyl-Rhamnoside Diminish Tumor Growth of Colon Cancer Cells Xenografted in Immune-Suppressed Mice through the Activation of Apoptosis Intrinsic Pathway.</x:v>
      </x:c>
      <x:c r="F35" s="20" t="str">
        <x:v>Extract/formula/decoction contextual evidence</x:v>
      </x:c>
      <x:c r="G35" s="20" t="str">
        <x:v>No</x:v>
      </x:c>
      <x:c r="H35" s="20" t="str">
        <x:v>No</x:v>
      </x:c>
      <x:c r="I35" s="20" t="str">
        <x:v>No</x:v>
      </x:c>
      <x:c r="J35" s="20" t="str">
        <x:v>No</x:v>
      </x:c>
      <x:c r="K35" s="20" t="str">
        <x:v>Yes</x:v>
      </x:c>
      <x:c r="L35" s="20" t="str">
        <x:v>Yes</x:v>
      </x:c>
      <x:c r="M35" s="20" t="str">
        <x:v>No</x:v>
      </x:c>
      <x:c r="N35" s="20" t="str">
        <x:v>Yes</x:v>
      </x:c>
      <x:c r="O35" s="20" t="str">
        <x:v>No</x:v>
      </x:c>
      <x:c r="P35" s="20" t="str">
        <x:v>No</x:v>
      </x:c>
      <x:c r="Q35" s="20" t="str">
        <x:v>体外：HT-29 RFP 细胞；体内：免疫抑制小鼠异种移植模型</x:v>
      </x:c>
      <x:c r="R35" s="20" t="str">
        <x:v>not captured in source extraction</x:v>
      </x:c>
      <x:c r="S35" s="20" t="str">
        <x:v>Apoptosis/cell cycle; Immune microenvironment; ROS/ferroptosis</x:v>
      </x:c>
      <x:c r="T35" s="20" t="str">
        <x:v>Context only; preparation effects are not assigned to an isolated monomer.</x:v>
      </x:c>
      <x:c r="U35" s="20" t="str">
        <x:v>2021</x:v>
      </x:c>
      <x:c r="V35" s="20" t="str">
        <x:v>2021/12/01</x:v>
      </x:c>
      <x:c r="W35" s="20" t="str">
        <x:v>isorhamnetin</x:v>
      </x:c>
      <x:c r="X35" s="20" t="str">
        <x:v>Opuntia ficus-indica 提取物</x:v>
      </x:c>
      <x:c r="Y35" s="20" t="str">
        <x:v>Not established from supplied source field</x:v>
      </x:c>
      <x:c r="Z35" s="20" t="str">
        <x:v>Generic botanical, dietary, computational, or unspecified association</x:v>
      </x:c>
      <x:c r="AA35" s="20" t="str">
        <x:v>PMID 34786663; PMID34786663</x:v>
      </x:c>
      <x:c r="AB35" s="20" t="str">
        <x:v>Extract/formula/decoction contextual evidence</x:v>
      </x:c>
      <x:c r="AC35" s="20" t="str">
        <x:v>One unique PMID-linked reference</x:v>
      </x:c>
    </x:row>
    <x:row r="36">
      <x:c r="A36" s="20" t="str">
        <x:v>34804370</x:v>
      </x:c>
      <x:c r="B36" s="20" t="str">
        <x:v>PMID34804370</x:v>
      </x:c>
      <x:c r="C36" s="20" t="str">
        <x:v>Tanshinone IIA</x:v>
      </x:c>
      <x:c r="D36" s="20" t="str">
        <x:v>Diterpenoid quinones</x:v>
      </x:c>
      <x:c r="E36" s="20" t="str">
        <x:v>Targeting the Ang2/Tie2 Axis with Tanshinone IIA Elicits Vascular Normalization in Ischemic Injury and Colon Cancer.</x:v>
      </x:c>
      <x:c r="F36" s="20" t="str">
        <x:v>Animal-validated isolated monomer evidence</x:v>
      </x:c>
      <x:c r="G36" s="20" t="str">
        <x:v>Yes</x:v>
      </x:c>
      <x:c r="H36" s="20" t="str">
        <x:v>Yes</x:v>
      </x:c>
      <x:c r="I36" s="20" t="str">
        <x:v>No</x:v>
      </x:c>
      <x:c r="J36" s="20" t="str">
        <x:v>No</x:v>
      </x:c>
      <x:c r="K36" s="20" t="str">
        <x:v>No</x:v>
      </x:c>
      <x:c r="L36" s="20" t="str">
        <x:v>No</x:v>
      </x:c>
      <x:c r="M36" s="20" t="str">
        <x:v>No</x:v>
      </x:c>
      <x:c r="N36" s="20" t="str">
        <x:v>No</x:v>
      </x:c>
      <x:c r="O36" s="20" t="str">
        <x:v>No</x:v>
      </x:c>
      <x:c r="P36" s="20" t="str">
        <x:v>No</x:v>
      </x:c>
      <x:c r="Q36" s="20" t="str">
        <x:v>动物模型：HT-29 结肠癌异种移植 + 后肢缺血模型</x:v>
      </x:c>
      <x:c r="R36" s="20" t="str">
        <x:v>not captured in source extraction</x:v>
      </x:c>
      <x:c r="S36" s="20" t="str">
        <x:v>PI3K/Akt/mTOR/metabolism</x:v>
      </x:c>
      <x:c r="T36" s="20" t="str">
        <x:v>High-information direct preclinical evidence.</x:v>
      </x:c>
      <x:c r="U36" s="20" t="str">
        <x:v>2021</x:v>
      </x:c>
      <x:c r="V36" s="20" t="str">
        <x:v>2021/11/10</x:v>
      </x:c>
      <x:c r="W36" s="20" t="str">
        <x:v>Tanshinone IIA</x:v>
      </x:c>
      <x:c r="X36" s="20" t="str">
        <x:v>丹参</x:v>
      </x:c>
      <x:c r="Y36" s="20" t="str">
        <x:v>Yes—directly traceable in supplied records</x:v>
      </x:c>
      <x:c r="Z36" s="20" t="str">
        <x:v>Constituent of Danshen (Salvia miltiorrhiza)</x:v>
      </x:c>
      <x:c r="AA36" s="20" t="str">
        <x:v>PMID 34804370; PMID34804370</x:v>
      </x:c>
      <x:c r="AB36" s="20" t="str">
        <x:v>Purified isolated compound(s): Tanshinone IIA</x:v>
      </x:c>
      <x:c r="AC36" s="20" t="str">
        <x:v>One unique PMID-linked reference</x:v>
      </x:c>
    </x:row>
    <x:row r="37">
      <x:c r="A37" s="20" t="str">
        <x:v>34942456</x:v>
      </x:c>
      <x:c r="B37" s="20" t="str">
        <x:v>PMID34942456</x:v>
      </x:c>
      <x:c r="C37" s="20" t="str">
        <x:v>beta-sitosterol</x:v>
      </x:c>
      <x:c r="D37" s="20" t="str">
        <x:v>Phytosterols</x:v>
      </x:c>
      <x:c r="E37" s="20" t="str">
        <x:v>Integrating network pharmacology deciphers the action mechanism of Zuojin capsule in suppressing colorectal cancer.</x:v>
      </x:c>
      <x:c r="F37" s="20" t="str">
        <x:v>Extract/formula/decoction contextual evidence</x:v>
      </x:c>
      <x:c r="G37" s="20" t="str">
        <x:v>No</x:v>
      </x:c>
      <x:c r="H37" s="20" t="str">
        <x:v>No</x:v>
      </x:c>
      <x:c r="I37" s="20" t="str">
        <x:v>No</x:v>
      </x:c>
      <x:c r="J37" s="20" t="str">
        <x:v>No</x:v>
      </x:c>
      <x:c r="K37" s="20" t="str">
        <x:v>No</x:v>
      </x:c>
      <x:c r="L37" s="20" t="str">
        <x:v>No</x:v>
      </x:c>
      <x:c r="M37" s="20" t="str">
        <x:v>No</x:v>
      </x:c>
      <x:c r="N37" s="20" t="str">
        <x:v>Yes</x:v>
      </x:c>
      <x:c r="O37" s="20" t="str">
        <x:v>Yes</x:v>
      </x:c>
      <x:c r="P37" s="20" t="str">
        <x:v>No</x:v>
      </x:c>
      <x:c r="Q37" s="20" t="str">
        <x:v>1. 体外模型：结直肠癌细胞（CRC cells）
2. 体内模型：HCT-116 细胞系移植瘤小鼠模型（HCT-116 xenografted mice）</x:v>
      </x:c>
      <x:c r="R37" s="20" t="str">
        <x:v>not captured in source extraction</x:v>
      </x:c>
      <x:c r="S37" s="20" t="str">
        <x:v>Apoptosis/cell cycle; EMT/ECM/metastasis</x:v>
      </x:c>
      <x:c r="T37" s="20" t="str">
        <x:v>Context only; preparation effects are not assigned to an isolated monomer.</x:v>
      </x:c>
      <x:c r="U37" s="20" t="str">
        <x:v>2022</x:v>
      </x:c>
      <x:c r="V37" s="20" t="str">
        <x:v>2022/02/01</x:v>
      </x:c>
      <x:c r="W37" s="20" t="str">
        <x:v>beta-sitosterol</x:v>
      </x:c>
      <x:c r="X37" s="20" t="str">
        <x:v>左金胶囊（Zuojin Capsule, ZJC）</x:v>
      </x:c>
      <x:c r="Y37" s="20" t="str">
        <x:v>Contextual association only</x:v>
      </x:c>
      <x:c r="Z37" s="20" t="str">
        <x:v>Compound annotated within a TCM formula or preparation</x:v>
      </x:c>
      <x:c r="AA37" s="20" t="str">
        <x:v>PMID 34942456; PMID34942456</x:v>
      </x:c>
      <x:c r="AB37" s="20" t="str">
        <x:v>Extract/formula/decoction contextual evidence</x:v>
      </x:c>
      <x:c r="AC37" s="20" t="str">
        <x:v>One unique PMID-linked reference</x:v>
      </x:c>
    </x:row>
    <x:row r="38">
      <x:c r="A38" s="20" t="str">
        <x:v>35065044</x:v>
      </x:c>
      <x:c r="B38" s="20" t="str">
        <x:v>PMID35065044</x:v>
      </x:c>
      <x:c r="C38" s="20" t="str">
        <x:v>Kaempferol</x:v>
      </x:c>
      <x:c r="D38" s="20" t="str">
        <x:v>Flavonoids</x:v>
      </x:c>
      <x:c r="E38" s="20" t="str">
        <x:v>Kaempferol acts on bile acid signaling and gut microbiota to attenuate the tumor burden in ApcMin/+ mice.</x:v>
      </x:c>
      <x:c r="F38" s="20" t="str">
        <x:v>Animal-validated isolated monomer evidence</x:v>
      </x:c>
      <x:c r="G38" s="20" t="str">
        <x:v>Yes</x:v>
      </x:c>
      <x:c r="H38" s="20" t="str">
        <x:v>Yes</x:v>
      </x:c>
      <x:c r="I38" s="20" t="str">
        <x:v>No</x:v>
      </x:c>
      <x:c r="J38" s="20" t="str">
        <x:v>No</x:v>
      </x:c>
      <x:c r="K38" s="20" t="str">
        <x:v>No</x:v>
      </x:c>
      <x:c r="L38" s="20" t="str">
        <x:v>No</x:v>
      </x:c>
      <x:c r="M38" s="20" t="str">
        <x:v>No</x:v>
      </x:c>
      <x:c r="N38" s="20" t="str">
        <x:v>No</x:v>
      </x:c>
      <x:c r="O38" s="20" t="str">
        <x:v>No</x:v>
      </x:c>
      <x:c r="P38" s="20" t="str">
        <x:v>No</x:v>
      </x:c>
      <x:c r="Q38" s="20" t="str">
        <x:v>ApcMin/+ 小鼠（结肠癌易感转基因小鼠模型）</x:v>
      </x:c>
      <x:c r="R38" s="20" t="str">
        <x:v>not captured in source extraction</x:v>
      </x:c>
      <x:c r="S38" s="20" t="str">
        <x:v>Apoptosis/cell cycle</x:v>
      </x:c>
      <x:c r="T38" s="20" t="str">
        <x:v>High-information direct preclinical evidence.</x:v>
      </x:c>
      <x:c r="U38" s="20" t="str">
        <x:v>2022</x:v>
      </x:c>
      <x:c r="V38" s="20" t="str">
        <x:v>2022/03/05</x:v>
      </x:c>
      <x:c r="W38" s="20" t="str">
        <x:v>Kaempferol</x:v>
      </x:c>
      <x:c r="X38" s="20" t="str">
        <x:v>日常饮食中的常见多酚</x:v>
      </x:c>
      <x:c r="Y38" s="20" t="str">
        <x:v>Not established from this row alone</x:v>
      </x:c>
      <x:c r="Z38" s="20" t="str">
        <x:v>Dietary, generic botanical, or non-specific natural-product source</x:v>
      </x:c>
      <x:c r="AA38" s="20" t="str">
        <x:v>PMID 35065044; PMID35065044</x:v>
      </x:c>
      <x:c r="AB38" s="20" t="str">
        <x:v>Purified isolated compound(s): Kaempferol</x:v>
      </x:c>
      <x:c r="AC38" s="20" t="str">
        <x:v>One unique PMID-linked reference</x:v>
      </x:c>
    </x:row>
    <x:row r="39">
      <x:c r="A39" s="20" t="str">
        <x:v>35119127</x:v>
      </x:c>
      <x:c r="B39" s="20" t="str">
        <x:v>PMID35119127</x:v>
      </x:c>
      <x:c r="C39" s="20" t="str">
        <x:v>Luteolin</x:v>
      </x:c>
      <x:c r="D39" s="20" t="str">
        <x:v>Flavonoids</x:v>
      </x:c>
      <x:c r="E39" s="20" t="str">
        <x:v>Targeting protein tyrosine phosphatase 1B in obesity-associated colon cancer: Possible role of sweet potato (Ipomoea batatas).</x:v>
      </x:c>
      <x:c r="F39" s="20" t="str">
        <x:v>Network pharmacology/in silico evidence</x:v>
      </x:c>
      <x:c r="G39" s="20" t="str">
        <x:v>No</x:v>
      </x:c>
      <x:c r="H39" s="20" t="str">
        <x:v>No</x:v>
      </x:c>
      <x:c r="I39" s="20" t="str">
        <x:v>No</x:v>
      </x:c>
      <x:c r="J39" s="20" t="str">
        <x:v>No</x:v>
      </x:c>
      <x:c r="K39" s="20" t="str">
        <x:v>No</x:v>
      </x:c>
      <x:c r="L39" s="20" t="str">
        <x:v>Yes</x:v>
      </x:c>
      <x:c r="M39" s="20" t="str">
        <x:v>No</x:v>
      </x:c>
      <x:c r="N39" s="20" t="str">
        <x:v>No</x:v>
      </x:c>
      <x:c r="O39" s="20" t="str">
        <x:v>Yes</x:v>
      </x:c>
      <x:c r="P39" s="20" t="str">
        <x:v>No</x:v>
      </x:c>
      <x:c r="Q39" s="20" t="str">
        <x:v>计算机模拟 + 分子动力学（MD）模型</x:v>
      </x:c>
      <x:c r="R39" s="20" t="str">
        <x:v>not captured in source extraction</x:v>
      </x:c>
      <x:c r="S39" s="20" t="str">
        <x:v>ROS/ferroptosis</x:v>
      </x:c>
      <x:c r="T39" s="20" t="str">
        <x:v>Hypothesis generation only unless supported by a separate direct record.</x:v>
      </x:c>
      <x:c r="U39" s="20" t="str">
        <x:v>2022</x:v>
      </x:c>
      <x:c r="V39" s="20" t="str">
        <x:v>2022/06/01</x:v>
      </x:c>
      <x:c r="W39" s="20" t="str">
        <x:v>Luteolin</x:v>
      </x:c>
      <x:c r="X39" s="20" t="str">
        <x:v>甘薯</x:v>
      </x:c>
      <x:c r="Y39" s="20" t="str">
        <x:v>Not established from this row alone</x:v>
      </x:c>
      <x:c r="Z39" s="20" t="str">
        <x:v>Dietary, generic botanical, or non-specific natural-product source</x:v>
      </x:c>
      <x:c r="AA39" s="20" t="str">
        <x:v>PMID 35119127; PMID35119127</x:v>
      </x:c>
      <x:c r="AB39" s="20" t="str">
        <x:v>Network pharmacology/in silico evidence</x:v>
      </x:c>
      <x:c r="AC39" s="20" t="str">
        <x:v>One unique PMID-linked reference</x:v>
      </x:c>
    </x:row>
    <x:row r="40">
      <x:c r="A40" s="20" t="str">
        <x:v>35167185</x:v>
      </x:c>
      <x:c r="B40" s="20" t="str">
        <x:v>PMID35167185</x:v>
      </x:c>
      <x:c r="C40" s="20" t="str">
        <x:v>Eucalyptol</x:v>
      </x:c>
      <x:c r="D40" s="20" t="str">
        <x:v>Terpenoids</x:v>
      </x:c>
      <x:c r="E40" s="20" t="str">
        <x:v>Constituents, Antibacterial Adhesion, Cytotoxic and in Vitro Metastasis Blocking Properties of Salvia fruticosa Essential Oils from Three Palestinian Localities.</x:v>
      </x:c>
      <x:c r="F40" s="20" t="str">
        <x:v>Extract/formula/decoction contextual evidence</x:v>
      </x:c>
      <x:c r="G40" s="20" t="str">
        <x:v>No</x:v>
      </x:c>
      <x:c r="H40" s="20" t="str">
        <x:v>No</x:v>
      </x:c>
      <x:c r="I40" s="20" t="str">
        <x:v>No</x:v>
      </x:c>
      <x:c r="J40" s="20" t="str">
        <x:v>No</x:v>
      </x:c>
      <x:c r="K40" s="20" t="str">
        <x:v>No</x:v>
      </x:c>
      <x:c r="L40" s="20" t="str">
        <x:v>No</x:v>
      </x:c>
      <x:c r="M40" s="20" t="str">
        <x:v>No</x:v>
      </x:c>
      <x:c r="N40" s="20" t="str">
        <x:v>Yes</x:v>
      </x:c>
      <x:c r="O40" s="20" t="str">
        <x:v>No</x:v>
      </x:c>
      <x:c r="P40" s="20" t="str">
        <x:v>No</x:v>
      </x:c>
      <x:c r="Q40" s="20" t="str">
        <x:v>Caco-2（结直肠癌）、HeLa（宫颈癌）细胞系；Klebsiella pneumoniae 细菌；体外模型（MTT、粘附、迁移实验）</x:v>
      </x:c>
      <x:c r="R40" s="20" t="str">
        <x:v>not captured in source extraction</x:v>
      </x:c>
      <x:c r="S40" s="20" t="str">
        <x:v>EMT/ECM/metastasis</x:v>
      </x:c>
      <x:c r="T40" s="20" t="str">
        <x:v>Context only; preparation effects are not assigned to an isolated monomer.</x:v>
      </x:c>
      <x:c r="U40" s="20" t="str">
        <x:v>2022</x:v>
      </x:c>
      <x:c r="V40" s="20" t="str">
        <x:v>2022/04/01</x:v>
      </x:c>
      <x:c r="W40" s="20" t="str">
        <x:v>Eucalyptol</x:v>
      </x:c>
      <x:c r="X40" s="20" t="str">
        <x:v>S. fruticosa essential oil (EO)/Essential oils (EOs) of Salvia fruticosa Mill. 迷迭香状鼠尾草精油</x:v>
      </x:c>
      <x:c r="Y40" s="20" t="str">
        <x:v>Not established from supplied source field</x:v>
      </x:c>
      <x:c r="Z40" s="20" t="str">
        <x:v>Generic botanical, dietary, computational, or unspecified association</x:v>
      </x:c>
      <x:c r="AA40" s="20" t="str">
        <x:v>PMID 35167185; PMID35167185</x:v>
      </x:c>
      <x:c r="AB40" s="20" t="str">
        <x:v>Extract/formula/decoction contextual evidence</x:v>
      </x:c>
      <x:c r="AC40" s="20" t="str">
        <x:v>One unique PMID-linked reference</x:v>
      </x:c>
    </x:row>
    <x:row r="41">
      <x:c r="A41" s="20" t="str">
        <x:v>35256690</x:v>
      </x:c>
      <x:c r="B41" s="20" t="str">
        <x:v>PMID35256690</x:v>
      </x:c>
      <x:c r="C41" s="20" t="str">
        <x:v>caffeic acid</x:v>
      </x:c>
      <x:c r="D41" s="20" t="str">
        <x:v>Phenolic acids</x:v>
      </x:c>
      <x:c r="E41" s="20" t="str">
        <x:v>The influence of the pH on the incorporation of caffeic acid into biomimetic membranes and cancer cells.</x:v>
      </x:c>
      <x:c r="F41" s="20" t="str">
        <x:v>Cell-only isolated monomer evidence</x:v>
      </x:c>
      <x:c r="G41" s="20" t="str">
        <x:v>Yes</x:v>
      </x:c>
      <x:c r="H41" s="20" t="str">
        <x:v>No</x:v>
      </x:c>
      <x:c r="I41" s="20" t="str">
        <x:v>Yes</x:v>
      </x:c>
      <x:c r="J41" s="20" t="str">
        <x:v>No</x:v>
      </x:c>
      <x:c r="K41" s="20" t="str">
        <x:v>No</x:v>
      </x:c>
      <x:c r="L41" s="20" t="str">
        <x:v>No</x:v>
      </x:c>
      <x:c r="M41" s="20" t="str">
        <x:v>No</x:v>
      </x:c>
      <x:c r="N41" s="20" t="str">
        <x:v>No</x:v>
      </x:c>
      <x:c r="O41" s="20" t="str">
        <x:v>No</x:v>
      </x:c>
      <x:c r="P41" s="20" t="str">
        <x:v>No</x:v>
      </x:c>
      <x:c r="Q41" s="20" t="str">
        <x:v>细胞模型：
U118MG：人胶质母细胞瘤细胞系
DLD-1：人结直肠腺癌细胞系</x:v>
      </x:c>
      <x:c r="R41" s="20" t="str">
        <x:v>not captured in source extraction</x:v>
      </x:c>
      <x:c r="S41" s="20" t="str"/>
      <x:c r="T41" s="20" t="str">
        <x:v>Direct mechanistic evidence requiring in vivo validation.</x:v>
      </x:c>
      <x:c r="U41" s="20" t="str">
        <x:v>2022</x:v>
      </x:c>
      <x:c r="V41" s="20" t="str">
        <x:v>2022/03/07</x:v>
      </x:c>
      <x:c r="W41" s="20" t="str">
        <x:v>caffeic acid</x:v>
      </x:c>
      <x:c r="X41" s="20" t="str">
        <x:v>羟基肉桂酸</x:v>
      </x:c>
      <x:c r="Y41" s="20" t="str">
        <x:v>Not established from supplied source field</x:v>
      </x:c>
      <x:c r="Z41" s="20" t="str">
        <x:v>Generic botanical, dietary, computational, or unspecified association</x:v>
      </x:c>
      <x:c r="AA41" s="20" t="str">
        <x:v>PMID 35256690; PMID35256690</x:v>
      </x:c>
      <x:c r="AB41" s="20" t="str">
        <x:v>Purified isolated compound(s): caffeic acid</x:v>
      </x:c>
      <x:c r="AC41" s="20" t="str">
        <x:v>One unique PMID-linked reference</x:v>
      </x:c>
    </x:row>
    <x:row r="42">
      <x:c r="A42" s="20" t="str">
        <x:v>35408903</x:v>
      </x:c>
      <x:c r="B42" s="20" t="str">
        <x:v>PMID35408903</x:v>
      </x:c>
      <x:c r="C42" s="20" t="str">
        <x:v>Kaempferol</x:v>
      </x:c>
      <x:c r="D42" s="20" t="str">
        <x:v>Flavonoids</x:v>
      </x:c>
      <x:c r="E42" s="20" t="str">
        <x:v>Kaempferol Can Reverse the 5-Fu Resistance of Colorectal Cancer Cells by Inhibiting PKM2-Mediated Glycolysis.</x:v>
      </x:c>
      <x:c r="F42" s="20" t="str">
        <x:v>Cell-only isolated monomer evidence</x:v>
      </x:c>
      <x:c r="G42" s="20" t="str">
        <x:v>Yes</x:v>
      </x:c>
      <x:c r="H42" s="20" t="str">
        <x:v>No</x:v>
      </x:c>
      <x:c r="I42" s="20" t="str">
        <x:v>Yes</x:v>
      </x:c>
      <x:c r="J42" s="20" t="str">
        <x:v>Yes</x:v>
      </x:c>
      <x:c r="K42" s="20" t="str">
        <x:v>No</x:v>
      </x:c>
      <x:c r="L42" s="20" t="str">
        <x:v>No</x:v>
      </x:c>
      <x:c r="M42" s="20" t="str">
        <x:v>No</x:v>
      </x:c>
      <x:c r="N42" s="20" t="str">
        <x:v>No</x:v>
      </x:c>
      <x:c r="O42" s="20" t="str">
        <x:v>No</x:v>
      </x:c>
      <x:c r="P42" s="20" t="str">
        <x:v>No</x:v>
      </x:c>
      <x:c r="Q42" s="20" t="str">
        <x:v>HCT8 and 5-FU-resistant HCT8-R colorectal cancer cells (verified in local PDF)</x:v>
      </x:c>
      <x:c r="R42" s="20" t="str">
        <x:v>not captured in source extraction</x:v>
      </x:c>
      <x:c r="S42" s="20" t="str">
        <x:v>PI3K/Akt/mTOR/metabolism</x:v>
      </x:c>
      <x:c r="T42" s="20" t="str">
        <x:v>Direct mechanistic evidence requiring in vivo validation.</x:v>
      </x:c>
      <x:c r="U42" s="20" t="str">
        <x:v>2022</x:v>
      </x:c>
      <x:c r="V42" s="20" t="str">
        <x:v>2022/03/24</x:v>
      </x:c>
      <x:c r="W42" s="20" t="str">
        <x:v>Kaempferol</x:v>
      </x:c>
      <x:c r="X42" s="20" t="str">
        <x:v>姜科植物山奈的根茎、茶叶、花椰菜、山楂、蜂花粉、柚子等绿色植物中提取</x:v>
      </x:c>
      <x:c r="Y42" s="20" t="str">
        <x:v>Source-dependent—named Chinese medicinal material or TCM preparation recorded</x:v>
      </x:c>
      <x:c r="Z42" s="20" t="str">
        <x:v>Requires source-level constituent verification for the specific record</x:v>
      </x:c>
      <x:c r="AA42" s="20" t="str">
        <x:v>PMID 35408903; PMID35408903</x:v>
      </x:c>
      <x:c r="AB42" s="20" t="str">
        <x:v>Purified isolated compound(s): Kaempferol</x:v>
      </x:c>
      <x:c r="AC42" s="20" t="str">
        <x:v>One unique PMID-linked reference</x:v>
      </x:c>
    </x:row>
    <x:row r="43">
      <x:c r="A43" s="20" t="str">
        <x:v>35453311</x:v>
      </x:c>
      <x:c r="B43" s="20" t="str">
        <x:v>PMID35453311</x:v>
      </x:c>
      <x:c r="C43" s="20" t="str">
        <x:v>Luteolin</x:v>
      </x:c>
      <x:c r="D43" s="20" t="str">
        <x:v>Flavonoids</x:v>
      </x:c>
      <x:c r="E43" s="20" t="str">
        <x:v>Luteolin Synergistically Enhances Antitumor Activity of Oxaliplatin in Colorectal Carcinoma via AMPK Inhibition.</x:v>
      </x:c>
      <x:c r="F43" s="20" t="str">
        <x:v>Animal-validated isolated monomer evidence</x:v>
      </x:c>
      <x:c r="G43" s="20" t="str">
        <x:v>Yes</x:v>
      </x:c>
      <x:c r="H43" s="20" t="str">
        <x:v>Yes</x:v>
      </x:c>
      <x:c r="I43" s="20" t="str">
        <x:v>No</x:v>
      </x:c>
      <x:c r="J43" s="20" t="str">
        <x:v>Yes</x:v>
      </x:c>
      <x:c r="K43" s="20" t="str">
        <x:v>No</x:v>
      </x:c>
      <x:c r="L43" s="20" t="str">
        <x:v>No</x:v>
      </x:c>
      <x:c r="M43" s="20" t="str">
        <x:v>No</x:v>
      </x:c>
      <x:c r="N43" s="20" t="str">
        <x:v>No</x:v>
      </x:c>
      <x:c r="O43" s="20" t="str">
        <x:v>No</x:v>
      </x:c>
      <x:c r="P43" s="20" t="str">
        <x:v>No</x:v>
      </x:c>
      <x:c r="Q43" s="20" t="str">
        <x:v>体外：人结肠癌细胞系 HCT116
体内：BALB/c nude mice（裸鼠）荷 HCT116 异种移植瘤</x:v>
      </x:c>
      <x:c r="R43" s="20" t="str">
        <x:v>12.5 or 25 µM luteolin with 1 µM oxaliplatin in vitro; luteolin 50 mg/kg/day with oxaliplatin 10 mg/kg three times/week in xenograft mice</x:v>
      </x:c>
      <x:c r="S43" s="20" t="str">
        <x:v>MAPK/JNK/ERK; PI3K/Akt/mTOR/metabolism</x:v>
      </x:c>
      <x:c r="T43" s="20" t="str">
        <x:v>High-information direct preclinical evidence.</x:v>
      </x:c>
      <x:c r="U43" s="20" t="str">
        <x:v>2022</x:v>
      </x:c>
      <x:c r="V43" s="20" t="str">
        <x:v>2022/03/24</x:v>
      </x:c>
      <x:c r="W43" s="20" t="str">
        <x:v>Luteolin</x:v>
      </x:c>
      <x:c r="X43" s="20" t="str">
        <x:v>天然黄酮类化合物</x:v>
      </x:c>
      <x:c r="Y43" s="20" t="str">
        <x:v>Not established from this row alone</x:v>
      </x:c>
      <x:c r="Z43" s="20" t="str">
        <x:v>Dietary, generic botanical, or non-specific natural-product source</x:v>
      </x:c>
      <x:c r="AA43" s="20" t="str">
        <x:v>PMID 35453311; PMID35453311</x:v>
      </x:c>
      <x:c r="AB43" s="20" t="str">
        <x:v>Purified isolated compound(s): Luteolin</x:v>
      </x:c>
      <x:c r="AC43" s="20" t="str">
        <x:v>One unique PMID-linked reference</x:v>
      </x:c>
    </x:row>
    <x:row r="44">
      <x:c r="A44" s="20" t="str">
        <x:v>35473479</x:v>
      </x:c>
      <x:c r="B44" s="20" t="str">
        <x:v>PMID35473479</x:v>
      </x:c>
      <x:c r="C44" s="20" t="str">
        <x:v>Luteolin</x:v>
      </x:c>
      <x:c r="D44" s="20" t="str">
        <x:v>Flavonoids</x:v>
      </x:c>
      <x:c r="E44" s="20" t="str">
        <x:v>Luteolin impacts deoxyribonucleic acid repair by modulating the mitogen-activated protein kinase pathway in colorectal cancer.</x:v>
      </x:c>
      <x:c r="F44" s="20" t="str">
        <x:v>Cell-only isolated monomer evidence</x:v>
      </x:c>
      <x:c r="G44" s="20" t="str">
        <x:v>Yes</x:v>
      </x:c>
      <x:c r="H44" s="20" t="str">
        <x:v>No</x:v>
      </x:c>
      <x:c r="I44" s="20" t="str">
        <x:v>Yes</x:v>
      </x:c>
      <x:c r="J44" s="20" t="str">
        <x:v>No</x:v>
      </x:c>
      <x:c r="K44" s="20" t="str">
        <x:v>No</x:v>
      </x:c>
      <x:c r="L44" s="20" t="str">
        <x:v>No</x:v>
      </x:c>
      <x:c r="M44" s="20" t="str">
        <x:v>No</x:v>
      </x:c>
      <x:c r="N44" s="20" t="str">
        <x:v>No</x:v>
      </x:c>
      <x:c r="O44" s="20" t="str">
        <x:v>No</x:v>
      </x:c>
      <x:c r="P44" s="20" t="str">
        <x:v>No</x:v>
      </x:c>
      <x:c r="Q44" s="20" t="str">
        <x:v>细胞系：人结直肠癌细胞 HCT-116 和 HT-29</x:v>
      </x:c>
      <x:c r="R44" s="20" t="str">
        <x:v>not captured in source extraction</x:v>
      </x:c>
      <x:c r="S44" s="20" t="str">
        <x:v>MAPK/JNK/ERK</x:v>
      </x:c>
      <x:c r="T44" s="20" t="str">
        <x:v>Direct mechanistic evidence requiring in vivo validation.</x:v>
      </x:c>
      <x:c r="U44" s="20" t="str">
        <x:v>2022</x:v>
      </x:c>
      <x:c r="V44" s="20" t="str">
        <x:v>2022/04/01</x:v>
      </x:c>
      <x:c r="W44" s="20" t="str">
        <x:v>Luteolin</x:v>
      </x:c>
      <x:c r="X44" s="20" t="str">
        <x:v>蔬菜（如西兰花、胡萝卜、芹菜和胡椒）、水果（如蓝莓、蓝莓和黑莓）和草药（如金银花、细叶五味子和日梅）</x:v>
      </x:c>
      <x:c r="Y44" s="20" t="str">
        <x:v>Source-dependent—named Chinese medicinal material or TCM preparation recorded</x:v>
      </x:c>
      <x:c r="Z44" s="20" t="str">
        <x:v>Requires source-level constituent verification for the specific record</x:v>
      </x:c>
      <x:c r="AA44" s="20" t="str">
        <x:v>PMID 35473479; PMID35473479</x:v>
      </x:c>
      <x:c r="AB44" s="20" t="str">
        <x:v>Purified isolated compound(s): Luteolin</x:v>
      </x:c>
      <x:c r="AC44" s="20" t="str">
        <x:v>One unique PMID-linked reference</x:v>
      </x:c>
    </x:row>
    <x:row r="45">
      <x:c r="A45" s="20" t="str">
        <x:v>35489282</x:v>
      </x:c>
      <x:c r="B45" s="20" t="str">
        <x:v>PMID35489282</x:v>
      </x:c>
      <x:c r="C45" s="20" t="str">
        <x:v>catechin; emodin/aloe-emodin</x:v>
      </x:c>
      <x:c r="D45" s="20" t="str">
        <x:v>Anthraquinones; Flavonoids</x:v>
      </x:c>
      <x:c r="E45" s="20" t="str">
        <x:v>In-silico predicting as a tool to develop plant-based biomedicines and nanoparticles: Lycium shawii metabolites.</x:v>
      </x:c>
      <x:c r="F45" s="20" t="str">
        <x:v>Formulation/nanodelivery contextual evidence</x:v>
      </x:c>
      <x:c r="G45" s="20" t="str">
        <x:v>No</x:v>
      </x:c>
      <x:c r="H45" s="20" t="str">
        <x:v>No</x:v>
      </x:c>
      <x:c r="I45" s="20" t="str">
        <x:v>No</x:v>
      </x:c>
      <x:c r="J45" s="20" t="str">
        <x:v>No</x:v>
      </x:c>
      <x:c r="K45" s="20" t="str">
        <x:v>No</x:v>
      </x:c>
      <x:c r="L45" s="20" t="str">
        <x:v>No</x:v>
      </x:c>
      <x:c r="M45" s="20" t="str">
        <x:v>Yes</x:v>
      </x:c>
      <x:c r="N45" s="20" t="str">
        <x:v>No</x:v>
      </x:c>
      <x:c r="O45" s="20" t="str">
        <x:v>Yes</x:v>
      </x:c>
      <x:c r="P45" s="20" t="str">
        <x:v>No</x:v>
      </x:c>
      <x:c r="Q45" s="20" t="str">
        <x:v>体外抗菌实验：测试了 L. shawii 提取物、AgNPs（银纳米粒子）和青霉素偶联 AgNPs（pen-AgNPs） 对细菌的抑制作用。
细胞毒性实验：使用以下三种细胞系：结直肠癌细胞 HCT116、正常乳腺上皮细胞 MCF 10 A、乳腺癌细胞 MDA-MB-231
计算机模拟（in silico）模型：用于预测代谢物的药理性质及分子靶点如分子对接。 | 体外实验模型（结直肠癌细胞系：HCT116、正常乳腺上皮细胞：MCF 10A、乳腺癌细胞系：MDA-MB-231）、计算机模拟模型</x:v>
      </x:c>
      <x:c r="R45" s="20" t="str">
        <x:v>not captured in source extraction</x:v>
      </x:c>
      <x:c r="S45" s="20" t="str"/>
      <x:c r="T45" s="20" t="str">
        <x:v>Context only; the delivery system cannot be attributed to isolated monomer activity.</x:v>
      </x:c>
      <x:c r="U45" s="20" t="str">
        <x:v>2022</x:v>
      </x:c>
      <x:c r="V45" s="20" t="str">
        <x:v>2022/06/01</x:v>
      </x:c>
      <x:c r="W45" s="20" t="str">
        <x:v>catechin; emodin/aloe-emodin</x:v>
      </x:c>
      <x:c r="X45" s="20" t="str">
        <x:v>Lycium shawii（枸杞属植物，一种灌木）; Lycium shawii（沙氏枸杞）提取物</x:v>
      </x:c>
      <x:c r="Y45" s="20" t="str">
        <x:v>Not established from supplied source field</x:v>
      </x:c>
      <x:c r="Z45" s="20" t="str">
        <x:v>Generic botanical, dietary, computational, or unspecified association</x:v>
      </x:c>
      <x:c r="AA45" s="20" t="str">
        <x:v>PMID 35489282; PMID35489282</x:v>
      </x:c>
      <x:c r="AB45" s="20" t="str">
        <x:v>Formulation/nanodelivery contextual evidence</x:v>
      </x:c>
      <x:c r="AC45" s="20" t="str">
        <x:v>One unique PMID-linked reference</x:v>
      </x:c>
    </x:row>
    <x:row r="46">
      <x:c r="A46" s="20" t="str">
        <x:v>35593352</x:v>
      </x:c>
      <x:c r="B46" s="20" t="str">
        <x:v>PMID35593352</x:v>
      </x:c>
      <x:c r="C46" s="20" t="str">
        <x:v>Tanshinone IIA</x:v>
      </x:c>
      <x:c r="D46" s="20" t="str">
        <x:v>Diterpenoid quinones</x:v>
      </x:c>
      <x:c r="E46" s="20" t="str">
        <x:v>Tanshinone IIA Alleviates the Biological Characteristics of Colorectal Cancer via Activating the ROS/JNK Signaling Pathway.</x:v>
      </x:c>
      <x:c r="F46" s="20" t="str">
        <x:v>Animal-validated isolated monomer evidence</x:v>
      </x:c>
      <x:c r="G46" s="20" t="str">
        <x:v>Yes</x:v>
      </x:c>
      <x:c r="H46" s="20" t="str">
        <x:v>Yes</x:v>
      </x:c>
      <x:c r="I46" s="20" t="str">
        <x:v>No</x:v>
      </x:c>
      <x:c r="J46" s="20" t="str">
        <x:v>No</x:v>
      </x:c>
      <x:c r="K46" s="20" t="str">
        <x:v>No</x:v>
      </x:c>
      <x:c r="L46" s="20" t="str">
        <x:v>Yes</x:v>
      </x:c>
      <x:c r="M46" s="20" t="str">
        <x:v>No</x:v>
      </x:c>
      <x:c r="N46" s="20" t="str">
        <x:v>No</x:v>
      </x:c>
      <x:c r="O46" s="20" t="str">
        <x:v>No</x:v>
      </x:c>
      <x:c r="P46" s="20" t="str">
        <x:v>No</x:v>
      </x:c>
      <x:c r="Q46" s="20" t="str">
        <x:v>体外人结直肠癌（CRC）细胞系细胞实验 + 小鼠体内异种移植模型</x:v>
      </x:c>
      <x:c r="R46" s="20" t="str">
        <x:v>not captured in source extraction</x:v>
      </x:c>
      <x:c r="S46" s="20" t="str">
        <x:v>Apoptosis/cell cycle; MAPK/JNK/ERK; ROS/ferroptosis</x:v>
      </x:c>
      <x:c r="T46" s="20" t="str">
        <x:v>Direct isolated-monomer experiment with animal evidence verified from the local article record.</x:v>
      </x:c>
      <x:c r="U46" s="20" t="str">
        <x:v>2023</x:v>
      </x:c>
      <x:c r="V46" s="20" t="str">
        <x:v>2023/01/01</x:v>
      </x:c>
      <x:c r="W46" s="20" t="str">
        <x:v>Tanshinone IIA</x:v>
      </x:c>
      <x:c r="X46" s="20" t="str">
        <x:v>丹参</x:v>
      </x:c>
      <x:c r="Y46" s="20" t="str">
        <x:v>Yes—directly traceable in supplied records</x:v>
      </x:c>
      <x:c r="Z46" s="20" t="str">
        <x:v>Constituent of Danshen (Salvia miltiorrhiza)</x:v>
      </x:c>
      <x:c r="AA46" s="20" t="str">
        <x:v>PMID 35593352; PMID35593352</x:v>
      </x:c>
      <x:c r="AB46" s="20" t="str">
        <x:v>Purified isolated compound(s): Tanshinone IIA</x:v>
      </x:c>
      <x:c r="AC46" s="20" t="str">
        <x:v>One unique PMID-linked reference</x:v>
      </x:c>
    </x:row>
    <x:row r="47">
      <x:c r="A47" s="20" t="str">
        <x:v>35767106</x:v>
      </x:c>
      <x:c r="B47" s="20" t="str">
        <x:v>PMID35767106</x:v>
      </x:c>
      <x:c r="C47" s="20" t="str">
        <x:v>myricetin</x:v>
      </x:c>
      <x:c r="D47" s="20" t="str">
        <x:v>Flavonoids</x:v>
      </x:c>
      <x:c r="E47" s="20" t="str">
        <x:v>Myricetin loaded in solid lipid nanoparticles induces apoptosis in the HT-29 colorectal cancer cells via mitochondrial dysfunction.</x:v>
      </x:c>
      <x:c r="F47" s="20" t="str">
        <x:v>Formulation/nanodelivery contextual evidence</x:v>
      </x:c>
      <x:c r="G47" s="20" t="str">
        <x:v>No</x:v>
      </x:c>
      <x:c r="H47" s="20" t="str">
        <x:v>No</x:v>
      </x:c>
      <x:c r="I47" s="20" t="str">
        <x:v>No</x:v>
      </x:c>
      <x:c r="J47" s="20" t="str">
        <x:v>No</x:v>
      </x:c>
      <x:c r="K47" s="20" t="str">
        <x:v>No</x:v>
      </x:c>
      <x:c r="L47" s="20" t="str">
        <x:v>Yes</x:v>
      </x:c>
      <x:c r="M47" s="20" t="str">
        <x:v>Yes</x:v>
      </x:c>
      <x:c r="N47" s="20" t="str">
        <x:v>No</x:v>
      </x:c>
      <x:c r="O47" s="20" t="str">
        <x:v>No</x:v>
      </x:c>
      <x:c r="P47" s="20" t="str">
        <x:v>No</x:v>
      </x:c>
      <x:c r="Q47" s="20" t="str">
        <x:v>HT-29 人结直肠癌细胞（体外模型）</x:v>
      </x:c>
      <x:c r="R47" s="20" t="str">
        <x:v>not captured in source extraction</x:v>
      </x:c>
      <x:c r="S47" s="20" t="str">
        <x:v>Apoptosis/cell cycle; EMT/ECM/metastasis; ROS/ferroptosis</x:v>
      </x:c>
      <x:c r="T47" s="20" t="str">
        <x:v>Context only; the delivery system cannot be attributed to isolated monomer activity.</x:v>
      </x:c>
      <x:c r="U47" s="20" t="str">
        <x:v>2022</x:v>
      </x:c>
      <x:c r="V47" s="20" t="str">
        <x:v>2022/09/01</x:v>
      </x:c>
      <x:c r="W47" s="20" t="str">
        <x:v>myricetin</x:v>
      </x:c>
      <x:c r="X47" s="20" t="str">
        <x:v>蔬菜、水果、浆果、茶、葡萄酒和核桃</x:v>
      </x:c>
      <x:c r="Y47" s="20" t="str">
        <x:v>Not established from supplied source field</x:v>
      </x:c>
      <x:c r="Z47" s="20" t="str">
        <x:v>Generic botanical, dietary, computational, or unspecified association</x:v>
      </x:c>
      <x:c r="AA47" s="20" t="str">
        <x:v>PMID 35767106; PMID35767106</x:v>
      </x:c>
      <x:c r="AB47" s="20" t="str">
        <x:v>Formulation/nanodelivery contextual evidence</x:v>
      </x:c>
      <x:c r="AC47" s="20" t="str">
        <x:v>One unique PMID-linked reference</x:v>
      </x:c>
    </x:row>
    <x:row r="48">
      <x:c r="A48" s="20" t="str">
        <x:v>35795631</x:v>
      </x:c>
      <x:c r="B48" s="20" t="str">
        <x:v>PMID35795631</x:v>
      </x:c>
      <x:c r="C48" s="20" t="str">
        <x:v>catechin</x:v>
      </x:c>
      <x:c r="D48" s="20" t="str">
        <x:v>Flavonoids</x:v>
      </x:c>
      <x:c r="E48" s="20" t="str">
        <x:v>Role of Ginseng, Quercetin, and Tea in Enhancing Chemotherapeutic Efficacy of Colorectal Cancer.</x:v>
      </x:c>
      <x:c r="F48" s="20" t="str">
        <x:v>Other CRC-relevant contextual evidence</x:v>
      </x:c>
      <x:c r="G48" s="20" t="str">
        <x:v>No</x:v>
      </x:c>
      <x:c r="H48" s="20" t="str">
        <x:v>No</x:v>
      </x:c>
      <x:c r="I48" s="20" t="str">
        <x:v>No</x:v>
      </x:c>
      <x:c r="J48" s="20" t="str">
        <x:v>Yes</x:v>
      </x:c>
      <x:c r="K48" s="20" t="str">
        <x:v>No</x:v>
      </x:c>
      <x:c r="L48" s="20" t="str">
        <x:v>No</x:v>
      </x:c>
      <x:c r="M48" s="20" t="str">
        <x:v>No</x:v>
      </x:c>
      <x:c r="N48" s="20" t="str">
        <x:v>No</x:v>
      </x:c>
      <x:c r="O48" s="20" t="str">
        <x:v>No</x:v>
      </x:c>
      <x:c r="P48" s="20" t="str">
        <x:v>No</x:v>
      </x:c>
      <x:c r="Q48" s="20" t="str">
        <x:v>体外模型：HCT-116、SW480、DLD-1、HT-29 等人结直肠癌细胞系
体内模型：人源性 HCT-116 腺癌荷瘤裸鼠模型</x:v>
      </x:c>
      <x:c r="R48" s="20" t="str">
        <x:v>not captured in source extraction</x:v>
      </x:c>
      <x:c r="S48" s="20" t="str">
        <x:v>Apoptosis/cell cycle; NF-kB/STAT3/inflammation</x:v>
      </x:c>
      <x:c r="T48" s="20" t="str">
        <x:v>Retained for mapping; not used for an isolated-monomer conclusion.</x:v>
      </x:c>
      <x:c r="U48" s="20" t="str">
        <x:v>2022</x:v>
      </x:c>
      <x:c r="V48" s="20" t="str">
        <x:v>2022/06/20</x:v>
      </x:c>
      <x:c r="W48" s="20" t="str">
        <x:v>catechin</x:v>
      </x:c>
      <x:c r="X48" s="20" t="str">
        <x:v>茶（Camellia sinensis 的叶和芽），是绿茶等茶类中的主要多酚类成分。</x:v>
      </x:c>
      <x:c r="Y48" s="20" t="str">
        <x:v>Not established from supplied source field</x:v>
      </x:c>
      <x:c r="Z48" s="20" t="str">
        <x:v>Generic botanical, dietary, computational, or unspecified association</x:v>
      </x:c>
      <x:c r="AA48" s="20" t="str">
        <x:v>PMID 35795631; PMID35795631</x:v>
      </x:c>
      <x:c r="AB48" s="20" t="str">
        <x:v>Other CRC-relevant contextual evidence</x:v>
      </x:c>
      <x:c r="AC48" s="20" t="str">
        <x:v>One unique PMID-linked reference</x:v>
      </x:c>
    </x:row>
    <x:row r="49">
      <x:c r="A49" s="20" t="str">
        <x:v>35820317</x:v>
      </x:c>
      <x:c r="B49" s="20" t="str">
        <x:v>PMID35820317</x:v>
      </x:c>
      <x:c r="C49" s="20" t="str">
        <x:v>Kaempferol; Luteolin</x:v>
      </x:c>
      <x:c r="D49" s="20" t="str">
        <x:v>Flavonoids</x:v>
      </x:c>
      <x:c r="E49" s="20" t="str">
        <x:v>Plant-derived bioactive compounds in colon cancer treatment: An updated review.</x:v>
      </x:c>
      <x:c r="F49" s="20" t="str">
        <x:v>Review/background evidence</x:v>
      </x:c>
      <x:c r="G49" s="20" t="str">
        <x:v>No</x:v>
      </x:c>
      <x:c r="H49" s="20" t="str">
        <x:v>No</x:v>
      </x:c>
      <x:c r="I49" s="20" t="str">
        <x:v>No</x:v>
      </x:c>
      <x:c r="J49" s="20" t="str">
        <x:v>No</x:v>
      </x:c>
      <x:c r="K49" s="20" t="str">
        <x:v>No</x:v>
      </x:c>
      <x:c r="L49" s="20" t="str">
        <x:v>No</x:v>
      </x:c>
      <x:c r="M49" s="20" t="str">
        <x:v>No</x:v>
      </x:c>
      <x:c r="N49" s="20" t="str">
        <x:v>No</x:v>
      </x:c>
      <x:c r="O49" s="20" t="str">
        <x:v>No</x:v>
      </x:c>
      <x:c r="P49" s="20" t="str">
        <x:v>Yes</x:v>
      </x:c>
      <x:c r="Q49" s="20" t="str">
        <x:v>not reported</x:v>
      </x:c>
      <x:c r="R49" s="20" t="str">
        <x:v>not captured in source extraction</x:v>
      </x:c>
      <x:c r="S49" s="20" t="str">
        <x:v>Apoptosis/cell cycle</x:v>
      </x:c>
      <x:c r="T49" s="20" t="str">
        <x:v>Background synthesis only; not counted as new efficacy evidence.</x:v>
      </x:c>
      <x:c r="U49" s="20" t="str">
        <x:v>2022</x:v>
      </x:c>
      <x:c r="V49" s="20" t="str">
        <x:v>2022/09/01</x:v>
      </x:c>
      <x:c r="W49" s="20" t="str">
        <x:v>Kaempferol; Luteolin</x:v>
      </x:c>
      <x:c r="X49" s="20" t="str">
        <x:v>药用植物</x:v>
      </x:c>
      <x:c r="Y49" s="20" t="str">
        <x:v>Not established from this row alone</x:v>
      </x:c>
      <x:c r="Z49" s="20" t="str">
        <x:v>Dietary, generic botanical, or non-specific natural-product source</x:v>
      </x:c>
      <x:c r="AA49" s="20" t="str">
        <x:v>PMID 35820317; PMID35820317</x:v>
      </x:c>
      <x:c r="AB49" s="20" t="str">
        <x:v>Review/background evidence</x:v>
      </x:c>
      <x:c r="AC49" s="20" t="str">
        <x:v>One unique PMID-linked reference</x:v>
      </x:c>
    </x:row>
    <x:row r="50">
      <x:c r="A50" s="20" t="str">
        <x:v>35831026</x:v>
      </x:c>
      <x:c r="B50" s="20" t="str">
        <x:v>PMID35831026</x:v>
      </x:c>
      <x:c r="C50" s="20" t="str">
        <x:v>Kaempferol; astragalin</x:v>
      </x:c>
      <x:c r="D50" s="20" t="str">
        <x:v>Flavonoids</x:v>
      </x:c>
      <x:c r="E50" s="20" t="str">
        <x:v>Total flavonoids from the dried root of Tetrastigma hemsleyanum Diels et Gilg inhibit colorectal cancer growth through PI3K/AKT/mTOR signaling pathway.</x:v>
      </x:c>
      <x:c r="F50" s="20" t="str">
        <x:v>Extract/formula/decoction contextual evidence</x:v>
      </x:c>
      <x:c r="G50" s="20" t="str">
        <x:v>No</x:v>
      </x:c>
      <x:c r="H50" s="20" t="str">
        <x:v>No</x:v>
      </x:c>
      <x:c r="I50" s="20" t="str">
        <x:v>No</x:v>
      </x:c>
      <x:c r="J50" s="20" t="str">
        <x:v>No</x:v>
      </x:c>
      <x:c r="K50" s="20" t="str">
        <x:v>No</x:v>
      </x:c>
      <x:c r="L50" s="20" t="str">
        <x:v>No</x:v>
      </x:c>
      <x:c r="M50" s="20" t="str">
        <x:v>No</x:v>
      </x:c>
      <x:c r="N50" s="20" t="str">
        <x:v>Yes</x:v>
      </x:c>
      <x:c r="O50" s="20" t="str">
        <x:v>No</x:v>
      </x:c>
      <x:c r="P50" s="20" t="str">
        <x:v>No</x:v>
      </x:c>
      <x:c r="Q50" s="20" t="str">
        <x:v>体外：HCT-116 和 HT-29 人结直肠癌细胞系
体内：HCT-116 细胞裸鼠移植瘤模型 | HCT-116 和 HT-29 细胞</x:v>
      </x:c>
      <x:c r="R50" s="20" t="str">
        <x:v>not captured in source extraction</x:v>
      </x:c>
      <x:c r="S50" s="20" t="str">
        <x:v>Apoptosis/cell cycle; PI3K/Akt/mTOR/metabolism</x:v>
      </x:c>
      <x:c r="T50" s="20" t="str">
        <x:v>Context only; preparation effects are not assigned to an isolated monomer.</x:v>
      </x:c>
      <x:c r="U50" s="20" t="str">
        <x:v>2022</x:v>
      </x:c>
      <x:c r="V50" s="20" t="str">
        <x:v>2022/11/01</x:v>
      </x:c>
      <x:c r="W50" s="20" t="str">
        <x:v>Kaempferol; astragalin</x:v>
      </x:c>
      <x:c r="X50" s="20" t="str">
        <x:v>Tetrastigma hemsleyanum Diels et Gilg 的干根; 三叶崖爬藤（Tetrastigma hemsleyanum）干燥根部的总黄酮提取物</x:v>
      </x:c>
      <x:c r="Y50" s="20" t="str">
        <x:v>Not established from this row alone</x:v>
      </x:c>
      <x:c r="Z50" s="20" t="str">
        <x:v>Dietary, generic botanical, or non-specific natural-product source</x:v>
      </x:c>
      <x:c r="AA50" s="20" t="str">
        <x:v>PMID 35831026; PMID35831026</x:v>
      </x:c>
      <x:c r="AB50" s="20" t="str">
        <x:v>Extract/formula/decoction contextual evidence</x:v>
      </x:c>
      <x:c r="AC50" s="20" t="str">
        <x:v>One unique PMID-linked reference</x:v>
      </x:c>
    </x:row>
    <x:row r="51">
      <x:c r="A51" s="20" t="str">
        <x:v>35899228</x:v>
      </x:c>
      <x:c r="B51" s="20" t="str">
        <x:v>PMID35899228</x:v>
      </x:c>
      <x:c r="C51" s="20" t="str">
        <x:v>Stigmasterol</x:v>
      </x:c>
      <x:c r="D51" s="20" t="str">
        <x:v>Phytosterols</x:v>
      </x:c>
      <x:c r="E51" s="20" t="str">
        <x:v>Network Pharmacology and Molecular Docking on the Molecular Mechanism of Jiawei-Huang Lian-Gan Jiang Decoction in the Treatment of Colorectal Adenomas.</x:v>
      </x:c>
      <x:c r="F51" s="20" t="str">
        <x:v>Extract/formula/decoction contextual evidence</x:v>
      </x:c>
      <x:c r="G51" s="20" t="str">
        <x:v>No</x:v>
      </x:c>
      <x:c r="H51" s="20" t="str">
        <x:v>No</x:v>
      </x:c>
      <x:c r="I51" s="20" t="str">
        <x:v>No</x:v>
      </x:c>
      <x:c r="J51" s="20" t="str">
        <x:v>No</x:v>
      </x:c>
      <x:c r="K51" s="20" t="str">
        <x:v>No</x:v>
      </x:c>
      <x:c r="L51" s="20" t="str">
        <x:v>No</x:v>
      </x:c>
      <x:c r="M51" s="20" t="str">
        <x:v>No</x:v>
      </x:c>
      <x:c r="N51" s="20" t="str">
        <x:v>Yes</x:v>
      </x:c>
      <x:c r="O51" s="20" t="str">
        <x:v>Yes</x:v>
      </x:c>
      <x:c r="P51" s="20" t="str">
        <x:v>No</x:v>
      </x:c>
      <x:c r="Q51" s="20" t="str">
        <x:v>纯计算研究</x:v>
      </x:c>
      <x:c r="R51" s="20" t="str">
        <x:v>not captured in source extraction</x:v>
      </x:c>
      <x:c r="S51" s="20" t="str">
        <x:v>MAPK/JNK/ERK; PI3K/Akt/mTOR/metabolism</x:v>
      </x:c>
      <x:c r="T51" s="20" t="str">
        <x:v>Context only; preparation effects are not assigned to an isolated monomer.</x:v>
      </x:c>
      <x:c r="U51" s="20" t="str">
        <x:v>2022</x:v>
      </x:c>
      <x:c r="V51" s="20" t="str">
        <x:v>2022/07/18</x:v>
      </x:c>
      <x:c r="W51" s="20" t="str">
        <x:v>Stigmasterol</x:v>
      </x:c>
      <x:c r="X51" s="20" t="str">
        <x:v>加味黄连干姜汤</x:v>
      </x:c>
      <x:c r="Y51" s="20" t="str">
        <x:v>Potentially traceable—named Chinese medicinal material recorded</x:v>
      </x:c>
      <x:c r="Z51" s="20" t="str">
        <x:v>Named medicinal material in source extraction; author verification required</x:v>
      </x:c>
      <x:c r="AA51" s="20" t="str">
        <x:v>PMID 35899228; PMID35899228</x:v>
      </x:c>
      <x:c r="AB51" s="20" t="str">
        <x:v>Extract/formula/decoction contextual evidence</x:v>
      </x:c>
      <x:c r="AC51" s="20" t="str">
        <x:v>One unique PMID-linked reference</x:v>
      </x:c>
    </x:row>
    <x:row r="52">
      <x:c r="A52" s="20" t="str">
        <x:v>35942366</x:v>
      </x:c>
      <x:c r="B52" s="20" t="str">
        <x:v>PMID35942366</x:v>
      </x:c>
      <x:c r="C52" s="20" t="str">
        <x:v>Kaempferol; Luteolin; isorhamnetin</x:v>
      </x:c>
      <x:c r="D52" s="20" t="str">
        <x:v>Flavonoids</x:v>
      </x:c>
      <x:c r="E52" s="20" t="str">
        <x:v>Study on the Action Mechanism of the Yifei Jianpi Tongfu Formula in Treatment of Colorectal Cancer Lung Metastasis Based on Network Analysis, Molecular Docking, and Experimental Validation.</x:v>
      </x:c>
      <x:c r="F52" s="20" t="str">
        <x:v>Extract/formula/decoction contextual evidence</x:v>
      </x:c>
      <x:c r="G52" s="20" t="str">
        <x:v>No</x:v>
      </x:c>
      <x:c r="H52" s="20" t="str">
        <x:v>No</x:v>
      </x:c>
      <x:c r="I52" s="20" t="str">
        <x:v>No</x:v>
      </x:c>
      <x:c r="J52" s="20" t="str">
        <x:v>No</x:v>
      </x:c>
      <x:c r="K52" s="20" t="str">
        <x:v>No</x:v>
      </x:c>
      <x:c r="L52" s="20" t="str">
        <x:v>No</x:v>
      </x:c>
      <x:c r="M52" s="20" t="str">
        <x:v>No</x:v>
      </x:c>
      <x:c r="N52" s="20" t="str">
        <x:v>Yes</x:v>
      </x:c>
      <x:c r="O52" s="20" t="str">
        <x:v>Yes</x:v>
      </x:c>
      <x:c r="P52" s="20" t="str">
        <x:v>No</x:v>
      </x:c>
      <x:c r="Q52" s="20" t="str">
        <x:v>计算机模拟方法：
网络药理学预测靶点
分子对接 | 体内模型：结直肠癌肺转移小鼠模型 | 计算模型（网络药理学、分子对接）+ 小鼠肺转移模型</x:v>
      </x:c>
      <x:c r="R52" s="20" t="str">
        <x:v>not captured in source extraction</x:v>
      </x:c>
      <x:c r="S52" s="20" t="str">
        <x:v>EMT/ECM/metastasis; PI3K/Akt/mTOR/metabolism</x:v>
      </x:c>
      <x:c r="T52" s="20" t="str">
        <x:v>Context only; preparation effects are not assigned to an isolated monomer.</x:v>
      </x:c>
      <x:c r="U52" s="20" t="str">
        <x:v>2022</x:v>
      </x:c>
      <x:c r="V52" s="20" t="str">
        <x:v>2022/07/30</x:v>
      </x:c>
      <x:c r="W52" s="20" t="str">
        <x:v>Kaempferol; Luteolin; isorhamnetin</x:v>
      </x:c>
      <x:c r="X52" s="20" t="str">
        <x:v>益肺健脾通腑方（YJTF）; 益肺健脾通腑方Yifei Jianpi Tongfu Formula (YJTF); 益津通腑YJTF</x:v>
      </x:c>
      <x:c r="Y52" s="20" t="str">
        <x:v>Source-dependent—named Chinese medicinal material or TCM preparation recorded</x:v>
      </x:c>
      <x:c r="Z52" s="20" t="str">
        <x:v>Requires source-level constituent verification for the specific record</x:v>
      </x:c>
      <x:c r="AA52" s="20" t="str">
        <x:v>PMID 35942366; PMID35942366</x:v>
      </x:c>
      <x:c r="AB52" s="20" t="str">
        <x:v>Extract/formula/decoction contextual evidence</x:v>
      </x:c>
      <x:c r="AC52" s="20" t="str">
        <x:v>One unique PMID-linked reference</x:v>
      </x:c>
    </x:row>
    <x:row r="53">
      <x:c r="A53" s="20" t="str">
        <x:v>35966396</x:v>
      </x:c>
      <x:c r="B53" s="20" t="str">
        <x:v>PMID35966396</x:v>
      </x:c>
      <x:c r="C53" s="20" t="str">
        <x:v>silibinin</x:v>
      </x:c>
      <x:c r="D53" s="20" t="str">
        <x:v>Flavonoids</x:v>
      </x:c>
      <x:c r="E53" s="20" t="str">
        <x:v>Curcumin, but not its degradation products, in combination with silibinin is primarily responsible for the inhibition of colon cancer cell proliferation.</x:v>
      </x:c>
      <x:c r="F53" s="20" t="str">
        <x:v>Multi-compound combination contextual evidence</x:v>
      </x:c>
      <x:c r="G53" s="20" t="str">
        <x:v>No</x:v>
      </x:c>
      <x:c r="H53" s="20" t="str">
        <x:v>No</x:v>
      </x:c>
      <x:c r="I53" s="20" t="str">
        <x:v>No</x:v>
      </x:c>
      <x:c r="J53" s="20" t="str">
        <x:v>No</x:v>
      </x:c>
      <x:c r="K53" s="20" t="str">
        <x:v>No</x:v>
      </x:c>
      <x:c r="L53" s="20" t="str">
        <x:v>No</x:v>
      </x:c>
      <x:c r="M53" s="20" t="str">
        <x:v>No</x:v>
      </x:c>
      <x:c r="N53" s="20" t="str">
        <x:v>No</x:v>
      </x:c>
      <x:c r="O53" s="20" t="str">
        <x:v>No</x:v>
      </x:c>
      <x:c r="P53" s="20" t="str">
        <x:v>No</x:v>
      </x:c>
      <x:c r="Q53" s="20" t="str">
        <x:v>DLD-1 结肠癌细胞系。</x:v>
      </x:c>
      <x:c r="R53" s="20" t="str">
        <x:v>not captured in source extraction</x:v>
      </x:c>
      <x:c r="S53" s="20" t="str"/>
      <x:c r="T53" s="20" t="str">
        <x:v>Context only; The intervention was curcumin in combination with silibinin; it supports combination context only.</x:v>
      </x:c>
      <x:c r="U53" s="20" t="str">
        <x:v>2022</x:v>
      </x:c>
      <x:c r="V53" s="20" t="str">
        <x:v>2022/07/28</x:v>
      </x:c>
      <x:c r="W53" s="20" t="str">
        <x:v>silibinin</x:v>
      </x:c>
      <x:c r="X53" s="20" t="str">
        <x:v>奶蓟</x:v>
      </x:c>
      <x:c r="Y53" s="20" t="str">
        <x:v>Not established from supplied source field</x:v>
      </x:c>
      <x:c r="Z53" s="20" t="str">
        <x:v>Generic botanical, dietary, computational, or unspecified association</x:v>
      </x:c>
      <x:c r="AA53" s="20" t="str">
        <x:v>PMID 35966396; PMID35966396</x:v>
      </x:c>
      <x:c r="AB53" s="20" t="str">
        <x:v>Multi-compound combination contextual evidence</x:v>
      </x:c>
      <x:c r="AC53" s="20" t="str">
        <x:v>One unique PMID-linked reference</x:v>
      </x:c>
    </x:row>
    <x:row r="54">
      <x:c r="A54" s="20" t="str">
        <x:v>35968644</x:v>
      </x:c>
      <x:c r="B54" s="20" t="str">
        <x:v>PMID35968644</x:v>
      </x:c>
      <x:c r="C54" s="20" t="str">
        <x:v>ellagic acid</x:v>
      </x:c>
      <x:c r="D54" s="20" t="str">
        <x:v>Polyphenols</x:v>
      </x:c>
      <x:c r="E54" s="20" t="str">
        <x:v>Antibacterial potential of ellagic acid and gallic acid against IBD bacterial isolates and cytotoxicity against colorectal cancer.</x:v>
      </x:c>
      <x:c r="F54" s="20" t="str">
        <x:v>Cell-only isolated monomer evidence</x:v>
      </x:c>
      <x:c r="G54" s="20" t="str">
        <x:v>Yes</x:v>
      </x:c>
      <x:c r="H54" s="20" t="str">
        <x:v>No</x:v>
      </x:c>
      <x:c r="I54" s="20" t="str">
        <x:v>Yes</x:v>
      </x:c>
      <x:c r="J54" s="20" t="str">
        <x:v>No</x:v>
      </x:c>
      <x:c r="K54" s="20" t="str">
        <x:v>No</x:v>
      </x:c>
      <x:c r="L54" s="20" t="str">
        <x:v>No</x:v>
      </x:c>
      <x:c r="M54" s="20" t="str">
        <x:v>No</x:v>
      </x:c>
      <x:c r="N54" s="20" t="str">
        <x:v>No</x:v>
      </x:c>
      <x:c r="O54" s="20" t="str">
        <x:v>No</x:v>
      </x:c>
      <x:c r="P54" s="20" t="str">
        <x:v>No</x:v>
      </x:c>
      <x:c r="Q54" s="20" t="str">
        <x:v>IBD细菌分离株、Caco-2/COLO.205/HT-29细胞、IEC-6细胞</x:v>
      </x:c>
      <x:c r="R54" s="20" t="str">
        <x:v>not captured in source extraction</x:v>
      </x:c>
      <x:c r="S54" s="20" t="str"/>
      <x:c r="T54" s="20" t="str">
        <x:v>Direct mechanistic evidence requiring in vivo validation.</x:v>
      </x:c>
      <x:c r="U54" s="20" t="str">
        <x:v>2023</x:v>
      </x:c>
      <x:c r="V54" s="20" t="str">
        <x:v>2023/06/01</x:v>
      </x:c>
      <x:c r="W54" s="20" t="str">
        <x:v>ellagic acid</x:v>
      </x:c>
      <x:c r="X54" s="20" t="str">
        <x:v>植物</x:v>
      </x:c>
      <x:c r="Y54" s="20" t="str">
        <x:v>Not established from supplied source field</x:v>
      </x:c>
      <x:c r="Z54" s="20" t="str">
        <x:v>Generic botanical, dietary, computational, or unspecified association</x:v>
      </x:c>
      <x:c r="AA54" s="20" t="str">
        <x:v>PMID 35968644; PMID35968644</x:v>
      </x:c>
      <x:c r="AB54" s="20" t="str">
        <x:v>Purified isolated compound(s): ellagic acid</x:v>
      </x:c>
      <x:c r="AC54" s="20" t="str">
        <x:v>One unique PMID-linked reference</x:v>
      </x:c>
    </x:row>
    <x:row r="55">
      <x:c r="A55" s="20" t="str">
        <x:v>35990576</x:v>
      </x:c>
      <x:c r="B55" s="20" t="str">
        <x:v>PMID35990576</x:v>
      </x:c>
      <x:c r="C55" s="20" t="str">
        <x:v>ellagic acid</x:v>
      </x:c>
      <x:c r="D55" s="20" t="str">
        <x:v>Polyphenols</x:v>
      </x:c>
      <x:c r="E55" s="20" t="str">
        <x:v>Ellagic acid modulates cisplatin toxicity in DMH induced colorectal cancer: Studies on membrane alterations.</x:v>
      </x:c>
      <x:c r="F55" s="20" t="str">
        <x:v>Animal-validated isolated monomer evidence</x:v>
      </x:c>
      <x:c r="G55" s="20" t="str">
        <x:v>Yes</x:v>
      </x:c>
      <x:c r="H55" s="20" t="str">
        <x:v>Yes</x:v>
      </x:c>
      <x:c r="I55" s="20" t="str">
        <x:v>No</x:v>
      </x:c>
      <x:c r="J55" s="20" t="str">
        <x:v>Yes</x:v>
      </x:c>
      <x:c r="K55" s="20" t="str">
        <x:v>No</x:v>
      </x:c>
      <x:c r="L55" s="20" t="str">
        <x:v>No</x:v>
      </x:c>
      <x:c r="M55" s="20" t="str">
        <x:v>No</x:v>
      </x:c>
      <x:c r="N55" s="20" t="str">
        <x:v>No</x:v>
      </x:c>
      <x:c r="O55" s="20" t="str">
        <x:v>No</x:v>
      </x:c>
      <x:c r="P55" s="20" t="str">
        <x:v>No</x:v>
      </x:c>
      <x:c r="Q55" s="20" t="str">
        <x:v>DMH诱导的小鼠结直肠癌模型</x:v>
      </x:c>
      <x:c r="R55" s="20" t="str">
        <x:v>not captured in source extraction</x:v>
      </x:c>
      <x:c r="S55" s="20" t="str"/>
      <x:c r="T55" s="20" t="str">
        <x:v>Direct isolated-monomer experiment with animal evidence verified from the local article record.</x:v>
      </x:c>
      <x:c r="U55" s="20" t="str">
        <x:v>2022</x:v>
      </x:c>
      <x:c r="V55" s="20" t="str">
        <x:v>2022/08/05</x:v>
      </x:c>
      <x:c r="W55" s="20" t="str">
        <x:v>ellagic acid</x:v>
      </x:c>
      <x:c r="X55" s="20" t="str">
        <x:v>植物化学物</x:v>
      </x:c>
      <x:c r="Y55" s="20" t="str">
        <x:v>Not established from supplied source field</x:v>
      </x:c>
      <x:c r="Z55" s="20" t="str">
        <x:v>Generic botanical, dietary, computational, or unspecified association</x:v>
      </x:c>
      <x:c r="AA55" s="20" t="str">
        <x:v>PMID 35990576; PMID35990576</x:v>
      </x:c>
      <x:c r="AB55" s="20" t="str">
        <x:v>Purified isolated compound(s): ellagic acid</x:v>
      </x:c>
      <x:c r="AC55" s="20" t="str">
        <x:v>One unique PMID-linked reference</x:v>
      </x:c>
    </x:row>
    <x:row r="56">
      <x:c r="A56" s="20" t="str">
        <x:v>36102033</x:v>
      </x:c>
      <x:c r="B56" s="20" t="str">
        <x:v>PMID36102033</x:v>
      </x:c>
      <x:c r="C56" s="20" t="str">
        <x:v>catechin</x:v>
      </x:c>
      <x:c r="D56" s="20" t="str">
        <x:v>Flavonoids</x:v>
      </x:c>
      <x:c r="E56" s="20" t="str">
        <x:v>Effect of drying method on the production of in vitro short-chain fatty acids and histone deacetylase mediation of cocoa pod husk.</x:v>
      </x:c>
      <x:c r="F56" s="20" t="str">
        <x:v>Extract/formula/decoction contextual evidence</x:v>
      </x:c>
      <x:c r="G56" s="20" t="str">
        <x:v>No</x:v>
      </x:c>
      <x:c r="H56" s="20" t="str">
        <x:v>No</x:v>
      </x:c>
      <x:c r="I56" s="20" t="str">
        <x:v>No</x:v>
      </x:c>
      <x:c r="J56" s="20" t="str">
        <x:v>No</x:v>
      </x:c>
      <x:c r="K56" s="20" t="str">
        <x:v>No</x:v>
      </x:c>
      <x:c r="L56" s="20" t="str">
        <x:v>No</x:v>
      </x:c>
      <x:c r="M56" s="20" t="str">
        <x:v>No</x:v>
      </x:c>
      <x:c r="N56" s="20" t="str">
        <x:v>Yes</x:v>
      </x:c>
      <x:c r="O56" s="20" t="str">
        <x:v>No</x:v>
      </x:c>
      <x:c r="P56" s="20" t="str">
        <x:v>No</x:v>
      </x:c>
      <x:c r="Q56" s="20" t="str">
        <x:v>体外结肠发酵模型：用于模拟人类结肠微生物代谢CPH；
细胞模型：人结肠癌细胞系 HT-29；
计算模型：用于预测化合物与HDAC6的相互作用</x:v>
      </x:c>
      <x:c r="R56" s="20" t="str">
        <x:v>not captured in source extraction</x:v>
      </x:c>
      <x:c r="S56" s="20" t="str"/>
      <x:c r="T56" s="20" t="str">
        <x:v>Context only; The tested CRC-relevant material was cocoa pod husk-derived material rather than isolated catechin.</x:v>
      </x:c>
      <x:c r="U56" s="20" t="str">
        <x:v>2022</x:v>
      </x:c>
      <x:c r="V56" s="20" t="str">
        <x:v>2022/10/01</x:v>
      </x:c>
      <x:c r="W56" s="20" t="str">
        <x:v>catechin</x:v>
      </x:c>
      <x:c r="X56" s="20" t="str">
        <x:v>可可果壳</x:v>
      </x:c>
      <x:c r="Y56" s="20" t="str">
        <x:v>Not established from supplied source field</x:v>
      </x:c>
      <x:c r="Z56" s="20" t="str">
        <x:v>Generic botanical, dietary, computational, or unspecified association</x:v>
      </x:c>
      <x:c r="AA56" s="20" t="str">
        <x:v>PMID 36102033; PMID36102033</x:v>
      </x:c>
      <x:c r="AB56" s="20" t="str">
        <x:v>Extract/formula/decoction contextual evidence</x:v>
      </x:c>
      <x:c r="AC56" s="20" t="str">
        <x:v>One unique PMID-linked reference</x:v>
      </x:c>
    </x:row>
    <x:row r="57">
      <x:c r="A57" s="20" t="str">
        <x:v>36204303</x:v>
      </x:c>
      <x:c r="B57" s="20" t="str">
        <x:v>PMID36204303</x:v>
      </x:c>
      <x:c r="C57" s="20" t="str">
        <x:v>Tanshinone IIA</x:v>
      </x:c>
      <x:c r="D57" s="20" t="str">
        <x:v>Diterpenoid quinones</x:v>
      </x:c>
      <x:c r="E57" s="20" t="str">
        <x:v>Transgelin-2 Involves in the Apoptosis of Colorectal Cancer Cells Induced by Tanshinone-IIA.</x:v>
      </x:c>
      <x:c r="F57" s="20" t="str">
        <x:v>Animal-validated isolated monomer evidence</x:v>
      </x:c>
      <x:c r="G57" s="20" t="str">
        <x:v>Yes</x:v>
      </x:c>
      <x:c r="H57" s="20" t="str">
        <x:v>Yes</x:v>
      </x:c>
      <x:c r="I57" s="20" t="str">
        <x:v>No</x:v>
      </x:c>
      <x:c r="J57" s="20" t="str">
        <x:v>No</x:v>
      </x:c>
      <x:c r="K57" s="20" t="str">
        <x:v>No</x:v>
      </x:c>
      <x:c r="L57" s="20" t="str">
        <x:v>No</x:v>
      </x:c>
      <x:c r="M57" s="20" t="str">
        <x:v>No</x:v>
      </x:c>
      <x:c r="N57" s="20" t="str">
        <x:v>No</x:v>
      </x:c>
      <x:c r="O57" s="20" t="str">
        <x:v>No</x:v>
      </x:c>
      <x:c r="P57" s="20" t="str">
        <x:v>No</x:v>
      </x:c>
      <x:c r="Q57" s="20" t="str">
        <x:v>体外：结直肠癌细胞；体内：动物模型</x:v>
      </x:c>
      <x:c r="R57" s="20" t="str">
        <x:v>not captured in source extraction</x:v>
      </x:c>
      <x:c r="S57" s="20" t="str">
        <x:v>Apoptosis/cell cycle; MAPK/JNK/ERK</x:v>
      </x:c>
      <x:c r="T57" s="20" t="str">
        <x:v>High-information direct preclinical evidence.</x:v>
      </x:c>
      <x:c r="U57" s="20" t="str">
        <x:v>2022</x:v>
      </x:c>
      <x:c r="V57" s="20" t="str">
        <x:v>2022/09/27</x:v>
      </x:c>
      <x:c r="W57" s="20" t="str">
        <x:v>Tanshinone IIA</x:v>
      </x:c>
      <x:c r="X57" s="20" t="str">
        <x:v>丹参</x:v>
      </x:c>
      <x:c r="Y57" s="20" t="str">
        <x:v>Yes—directly traceable in supplied records</x:v>
      </x:c>
      <x:c r="Z57" s="20" t="str">
        <x:v>Constituent of Danshen (Salvia miltiorrhiza)</x:v>
      </x:c>
      <x:c r="AA57" s="20" t="str">
        <x:v>PMID 36204303; PMID36204303</x:v>
      </x:c>
      <x:c r="AB57" s="20" t="str">
        <x:v>Purified isolated compound(s): Tanshinone IIA</x:v>
      </x:c>
      <x:c r="AC57" s="20" t="str">
        <x:v>One unique PMID-linked reference</x:v>
      </x:c>
    </x:row>
    <x:row r="58">
      <x:c r="A58" s="20" t="str">
        <x:v>36232319</x:v>
      </x:c>
      <x:c r="B58" s="20" t="str">
        <x:v>PMID36232319</x:v>
      </x:c>
      <x:c r="C58" s="20" t="str">
        <x:v>myricetin</x:v>
      </x:c>
      <x:c r="D58" s="20" t="str">
        <x:v>Flavonoids</x:v>
      </x:c>
      <x:c r="E58" s="20" t="str">
        <x:v>Synthesis of Silver Nano Particles Using Myricetin and the In-Vitro Assessment of Anti-Colorectal Cancer Activity: In-Silico Integration.</x:v>
      </x:c>
      <x:c r="F58" s="20" t="str">
        <x:v>Formulation/nanodelivery contextual evidence</x:v>
      </x:c>
      <x:c r="G58" s="20" t="str">
        <x:v>No</x:v>
      </x:c>
      <x:c r="H58" s="20" t="str">
        <x:v>No</x:v>
      </x:c>
      <x:c r="I58" s="20" t="str">
        <x:v>No</x:v>
      </x:c>
      <x:c r="J58" s="20" t="str">
        <x:v>No</x:v>
      </x:c>
      <x:c r="K58" s="20" t="str">
        <x:v>No</x:v>
      </x:c>
      <x:c r="L58" s="20" t="str">
        <x:v>No</x:v>
      </x:c>
      <x:c r="M58" s="20" t="str">
        <x:v>Yes</x:v>
      </x:c>
      <x:c r="N58" s="20" t="str">
        <x:v>No</x:v>
      </x:c>
      <x:c r="O58" s="20" t="str">
        <x:v>Yes</x:v>
      </x:c>
      <x:c r="P58" s="20" t="str">
        <x:v>No</x:v>
      </x:c>
      <x:c r="Q58" s="20" t="str">
        <x:v>人结直肠癌细胞系</x:v>
      </x:c>
      <x:c r="R58" s="20" t="str">
        <x:v>not captured in source extraction</x:v>
      </x:c>
      <x:c r="S58" s="20" t="str">
        <x:v>Apoptosis/cell cycle</x:v>
      </x:c>
      <x:c r="T58" s="20" t="str">
        <x:v>Context only; the delivery system cannot be attributed to isolated monomer activity.</x:v>
      </x:c>
      <x:c r="U58" s="20" t="str">
        <x:v>2022</x:v>
      </x:c>
      <x:c r="V58" s="20" t="str">
        <x:v>2022/09/20</x:v>
      </x:c>
      <x:c r="W58" s="20" t="str">
        <x:v>myricetin</x:v>
      </x:c>
      <x:c r="X58" s="20" t="str">
        <x:v>植物提取物</x:v>
      </x:c>
      <x:c r="Y58" s="20" t="str">
        <x:v>Not established from supplied source field</x:v>
      </x:c>
      <x:c r="Z58" s="20" t="str">
        <x:v>Generic botanical, dietary, computational, or unspecified association</x:v>
      </x:c>
      <x:c r="AA58" s="20" t="str">
        <x:v>PMID 36232319; PMID36232319</x:v>
      </x:c>
      <x:c r="AB58" s="20" t="str">
        <x:v>Formulation/nanodelivery contextual evidence</x:v>
      </x:c>
      <x:c r="AC58" s="20" t="str">
        <x:v>One unique PMID-linked reference</x:v>
      </x:c>
    </x:row>
    <x:row r="59">
      <x:c r="A59" s="20" t="str">
        <x:v>36353478</x:v>
      </x:c>
      <x:c r="B59" s="20" t="str">
        <x:v>PMID36353478</x:v>
      </x:c>
      <x:c r="C59" s="20" t="str">
        <x:v>Luteolin; beta-sitosterol</x:v>
      </x:c>
      <x:c r="D59" s="20" t="str">
        <x:v>Flavonoids; Phytosterols</x:v>
      </x:c>
      <x:c r="E59" s="20" t="str">
        <x:v>Identification of the effect and mechanism of Yiyi Fuzi Baijiang powder against colorectal cancer using network pharmacology and experimental validation.</x:v>
      </x:c>
      <x:c r="F59" s="20" t="str">
        <x:v>Extract/formula/decoction contextual evidence</x:v>
      </x:c>
      <x:c r="G59" s="20" t="str">
        <x:v>No</x:v>
      </x:c>
      <x:c r="H59" s="20" t="str">
        <x:v>No</x:v>
      </x:c>
      <x:c r="I59" s="20" t="str">
        <x:v>No</x:v>
      </x:c>
      <x:c r="J59" s="20" t="str">
        <x:v>No</x:v>
      </x:c>
      <x:c r="K59" s="20" t="str">
        <x:v>No</x:v>
      </x:c>
      <x:c r="L59" s="20" t="str">
        <x:v>No</x:v>
      </x:c>
      <x:c r="M59" s="20" t="str">
        <x:v>No</x:v>
      </x:c>
      <x:c r="N59" s="20" t="str">
        <x:v>Yes</x:v>
      </x:c>
      <x:c r="O59" s="20" t="str">
        <x:v>Yes</x:v>
      </x:c>
      <x:c r="P59" s="20" t="str">
        <x:v>No</x:v>
      </x:c>
      <x:c r="Q59" s="20" t="str">
        <x:v>1. 体外模型：人结肠癌HT-29细胞系（用于CCK-8、划痕、侵袭、凋亡、ChIP等实验）；
2. 体内模型：BALB/c裸鼠皮下移植HT-29细胞构建的结肠癌异种移植瘤模型</x:v>
      </x:c>
      <x:c r="R59" s="20" t="str">
        <x:v>not captured in source extraction</x:v>
      </x:c>
      <x:c r="S59" s="20" t="str">
        <x:v>Apoptosis/cell cycle; EMT/ECM/metastasis; NF-kB/STAT3/inflammation</x:v>
      </x:c>
      <x:c r="T59" s="20" t="str">
        <x:v>Context only; preparation effects are not assigned to an isolated monomer.</x:v>
      </x:c>
      <x:c r="U59" s="20" t="str">
        <x:v>2022</x:v>
      </x:c>
      <x:c r="V59" s="20" t="str">
        <x:v>2022/10/24</x:v>
      </x:c>
      <x:c r="W59" s="20" t="str">
        <x:v>Luteolin; beta-sitosterol</x:v>
      </x:c>
      <x:c r="X59" s="20" t="str">
        <x:v>薏苡附子败酱散</x:v>
      </x:c>
      <x:c r="Y59" s="20" t="str">
        <x:v>Source-dependent—named Chinese medicinal material or TCM preparation recorded</x:v>
      </x:c>
      <x:c r="Z59" s="20" t="str">
        <x:v>Requires source-level constituent verification for the specific record</x:v>
      </x:c>
      <x:c r="AA59" s="20" t="str">
        <x:v>PMID 36353478; PMID36353478</x:v>
      </x:c>
      <x:c r="AB59" s="20" t="str">
        <x:v>Extract/formula/decoction contextual evidence</x:v>
      </x:c>
      <x:c r="AC59" s="20" t="str">
        <x:v>One unique PMID-linked reference</x:v>
      </x:c>
    </x:row>
    <x:row r="60">
      <x:c r="A60" s="20" t="str">
        <x:v>36355520</x:v>
      </x:c>
      <x:c r="B60" s="20" t="str">
        <x:v>PMID36355520</x:v>
      </x:c>
      <x:c r="C60" s="20" t="str">
        <x:v>Chrysophanol; Emodin</x:v>
      </x:c>
      <x:c r="D60" s="20" t="str">
        <x:v>Anthraquinones</x:v>
      </x:c>
      <x:c r="E60" s="20" t="str">
        <x:v>In Vitro, Molecular Docking and In Silico ADME/Tox Studies of Emodin and Chrysophanol against Human Colorectal and Cervical Carcinoma.</x:v>
      </x:c>
      <x:c r="F60" s="20" t="str">
        <x:v>Cell-only isolated monomer evidence</x:v>
      </x:c>
      <x:c r="G60" s="20" t="str">
        <x:v>Yes</x:v>
      </x:c>
      <x:c r="H60" s="20" t="str">
        <x:v>No</x:v>
      </x:c>
      <x:c r="I60" s="20" t="str">
        <x:v>Yes</x:v>
      </x:c>
      <x:c r="J60" s="20" t="str">
        <x:v>No</x:v>
      </x:c>
      <x:c r="K60" s="20" t="str">
        <x:v>No</x:v>
      </x:c>
      <x:c r="L60" s="20" t="str">
        <x:v>No</x:v>
      </x:c>
      <x:c r="M60" s="20" t="str">
        <x:v>No</x:v>
      </x:c>
      <x:c r="N60" s="20" t="str">
        <x:v>No</x:v>
      </x:c>
      <x:c r="O60" s="20" t="str">
        <x:v>Yes</x:v>
      </x:c>
      <x:c r="P60" s="20" t="str">
        <x:v>No</x:v>
      </x:c>
      <x:c r="Q60" s="20" t="str">
        <x:v>In silico（分子对接 + ADME/Tox）、In vitro（HCT-116, HeLa 细胞）</x:v>
      </x:c>
      <x:c r="R60" s="20" t="str">
        <x:v>not captured in source extraction</x:v>
      </x:c>
      <x:c r="S60" s="20" t="str">
        <x:v>Apoptosis/cell cycle</x:v>
      </x:c>
      <x:c r="T60" s="20" t="str">
        <x:v>Direct experimental component only; The isolated emodin and chrysophanol cell-treatment results are direct; docking and ADME/Tox components remain hypothesis-generating.</x:v>
      </x:c>
      <x:c r="U60" s="20" t="str">
        <x:v>2022</x:v>
      </x:c>
      <x:c r="V60" s="20" t="str">
        <x:v>2022/10/31</x:v>
      </x:c>
      <x:c r="W60" s="20" t="str">
        <x:v>Chrysophanol; Emodin</x:v>
      </x:c>
      <x:c r="X60" s="20" t="str">
        <x:v>食品、保健品、传统药物</x:v>
      </x:c>
      <x:c r="Y60" s="20" t="str">
        <x:v>Not established from supplied source field</x:v>
      </x:c>
      <x:c r="Z60" s="20" t="str">
        <x:v>Generic botanical, dietary, computational, or unspecified association</x:v>
      </x:c>
      <x:c r="AA60" s="20" t="str">
        <x:v>PMID 36355520; PMID36355520</x:v>
      </x:c>
      <x:c r="AB60" s="20" t="str">
        <x:v>Purified isolated compound(s): Chrysophanol; Emodin</x:v>
      </x:c>
      <x:c r="AC60" s="20" t="str">
        <x:v>One unique PMID-linked reference</x:v>
      </x:c>
    </x:row>
    <x:row r="61">
      <x:c r="A61" s="20" t="str">
        <x:v>36375238</x:v>
      </x:c>
      <x:c r="B61" s="20" t="str">
        <x:v>PMID36375238</x:v>
      </x:c>
      <x:c r="C61" s="20" t="str">
        <x:v>Honokiol; caffeic acid; silibinin</x:v>
      </x:c>
      <x:c r="D61" s="20" t="str">
        <x:v>Flavonoids; Neolignans; Phenolic acids</x:v>
      </x:c>
      <x:c r="E61" s="20" t="str">
        <x:v>Targeting cancer stem cells and signalling pathways through phytochemicals: A promising approach against colorectal cancer.</x:v>
      </x:c>
      <x:c r="F61" s="20" t="str">
        <x:v>Review/background evidence</x:v>
      </x:c>
      <x:c r="G61" s="20" t="str">
        <x:v>No</x:v>
      </x:c>
      <x:c r="H61" s="20" t="str">
        <x:v>No</x:v>
      </x:c>
      <x:c r="I61" s="20" t="str">
        <x:v>No</x:v>
      </x:c>
      <x:c r="J61" s="20" t="str">
        <x:v>No</x:v>
      </x:c>
      <x:c r="K61" s="20" t="str">
        <x:v>No</x:v>
      </x:c>
      <x:c r="L61" s="20" t="str">
        <x:v>No</x:v>
      </x:c>
      <x:c r="M61" s="20" t="str">
        <x:v>No</x:v>
      </x:c>
      <x:c r="N61" s="20" t="str">
        <x:v>No</x:v>
      </x:c>
      <x:c r="O61" s="20" t="str">
        <x:v>No</x:v>
      </x:c>
      <x:c r="P61" s="20" t="str">
        <x:v>Yes</x:v>
      </x:c>
      <x:c r="Q61" s="20" t="str">
        <x:v>男性无胸腺裸体小鼠 | 来自 HCT-116 细胞系的 CSC | SW480、HT29 和 LoVo 细胞系的 CSC；
NOD/SCID 小鼠</x:v>
      </x:c>
      <x:c r="R61" s="20" t="str">
        <x:v>not captured in source extraction</x:v>
      </x:c>
      <x:c r="S61" s="20" t="str">
        <x:v>Apoptosis/cell cycle; EMT/ECM/metastasis; PI3K/Akt/mTOR/metabolism; Wnt/beta-catenin/stemness</x:v>
      </x:c>
      <x:c r="T61" s="20" t="str">
        <x:v>Background synthesis only; not counted as new efficacy evidence.</x:v>
      </x:c>
      <x:c r="U61" s="20" t="str">
        <x:v>2023</x:v>
      </x:c>
      <x:c r="V61" s="20" t="str">
        <x:v>2023/01/01</x:v>
      </x:c>
      <x:c r="W61" s="20" t="str">
        <x:v>Honokiol; caffeic acid; silibinin</x:v>
      </x:c>
      <x:c r="X61" s="20" t="str">
        <x:v>厚朴; 咖啡; 水飞蓟</x:v>
      </x:c>
      <x:c r="Y61" s="20" t="str">
        <x:v>Yes—directly traceable in supplied records</x:v>
      </x:c>
      <x:c r="Z61" s="20" t="str">
        <x:v>Constituent of Houpo (Magnolia officinalis)</x:v>
      </x:c>
      <x:c r="AA61" s="20" t="str">
        <x:v>PMID 36375238; PMID36375238</x:v>
      </x:c>
      <x:c r="AB61" s="20" t="str">
        <x:v>Review/background evidence</x:v>
      </x:c>
      <x:c r="AC61" s="20" t="str">
        <x:v>One unique PMID-linked reference</x:v>
      </x:c>
    </x:row>
    <x:row r="62">
      <x:c r="A62" s="20" t="str">
        <x:v>36500365</x:v>
      </x:c>
      <x:c r="B62" s="20" t="str">
        <x:v>PMID36500365</x:v>
      </x:c>
      <x:c r="C62" s="20" t="str">
        <x:v>catechin</x:v>
      </x:c>
      <x:c r="D62" s="20" t="str">
        <x:v>Flavonoids</x:v>
      </x:c>
      <x:c r="E62" s="20" t="str">
        <x:v>Induction of Apoptosis via Inactivating PI3K/AKT Pathway in Colorectal Cancer Cells Using Aged Chinese Hakka Stir-Fried Green Tea Extract.</x:v>
      </x:c>
      <x:c r="F62" s="20" t="str">
        <x:v>Extract/formula/decoction contextual evidence</x:v>
      </x:c>
      <x:c r="G62" s="20" t="str">
        <x:v>No</x:v>
      </x:c>
      <x:c r="H62" s="20" t="str">
        <x:v>No</x:v>
      </x:c>
      <x:c r="I62" s="20" t="str">
        <x:v>No</x:v>
      </x:c>
      <x:c r="J62" s="20" t="str">
        <x:v>No</x:v>
      </x:c>
      <x:c r="K62" s="20" t="str">
        <x:v>No</x:v>
      </x:c>
      <x:c r="L62" s="20" t="str">
        <x:v>No</x:v>
      </x:c>
      <x:c r="M62" s="20" t="str">
        <x:v>No</x:v>
      </x:c>
      <x:c r="N62" s="20" t="str">
        <x:v>Yes</x:v>
      </x:c>
      <x:c r="O62" s="20" t="str">
        <x:v>No</x:v>
      </x:c>
      <x:c r="P62" s="20" t="str">
        <x:v>No</x:v>
      </x:c>
      <x:c r="Q62" s="20" t="str">
        <x:v>人结直肠癌细胞 HT-29</x:v>
      </x:c>
      <x:c r="R62" s="20" t="str">
        <x:v>not captured in source extraction</x:v>
      </x:c>
      <x:c r="S62" s="20" t="str">
        <x:v>Apoptosis/cell cycle; PI3K/Akt/mTOR/metabolism</x:v>
      </x:c>
      <x:c r="T62" s="20" t="str">
        <x:v>Context only; preparation effects are not assigned to an isolated monomer.</x:v>
      </x:c>
      <x:c r="U62" s="20" t="str">
        <x:v>2022</x:v>
      </x:c>
      <x:c r="V62" s="20" t="str">
        <x:v>2022/11/27</x:v>
      </x:c>
      <x:c r="W62" s="20" t="str">
        <x:v>catechin</x:v>
      </x:c>
      <x:c r="X62" s="20" t="str">
        <x:v>中国客家炒青绿茶</x:v>
      </x:c>
      <x:c r="Y62" s="20" t="str">
        <x:v>Not established from supplied source field</x:v>
      </x:c>
      <x:c r="Z62" s="20" t="str">
        <x:v>Generic botanical, dietary, computational, or unspecified association</x:v>
      </x:c>
      <x:c r="AA62" s="20" t="str">
        <x:v>PMID 36500365; PMID36500365</x:v>
      </x:c>
      <x:c r="AB62" s="20" t="str">
        <x:v>Extract/formula/decoction contextual evidence</x:v>
      </x:c>
      <x:c r="AC62" s="20" t="str">
        <x:v>One unique PMID-linked reference</x:v>
      </x:c>
    </x:row>
    <x:row r="63">
      <x:c r="A63" s="20" t="str">
        <x:v>36603684</x:v>
      </x:c>
      <x:c r="B63" s="20" t="str">
        <x:v>PMID36603684</x:v>
      </x:c>
      <x:c r="C63" s="20" t="str">
        <x:v>beta-sitosterol</x:v>
      </x:c>
      <x:c r="D63" s="20" t="str">
        <x:v>Phytosterols</x:v>
      </x:c>
      <x:c r="E63" s="20" t="str">
        <x:v>beta-Sitosterol blocks the LEF-1-mediated Wnt/beta-catenin pathway to inhibit proliferation of human colon cancer cells.</x:v>
      </x:c>
      <x:c r="F63" s="20" t="str">
        <x:v>Cell-only isolated monomer evidence</x:v>
      </x:c>
      <x:c r="G63" s="20" t="str">
        <x:v>Yes</x:v>
      </x:c>
      <x:c r="H63" s="20" t="str">
        <x:v>No</x:v>
      </x:c>
      <x:c r="I63" s="20" t="str">
        <x:v>Yes</x:v>
      </x:c>
      <x:c r="J63" s="20" t="str">
        <x:v>No</x:v>
      </x:c>
      <x:c r="K63" s="20" t="str">
        <x:v>No</x:v>
      </x:c>
      <x:c r="L63" s="20" t="str">
        <x:v>No</x:v>
      </x:c>
      <x:c r="M63" s="20" t="str">
        <x:v>No</x:v>
      </x:c>
      <x:c r="N63" s="20" t="str">
        <x:v>No</x:v>
      </x:c>
      <x:c r="O63" s="20" t="str">
        <x:v>No</x:v>
      </x:c>
      <x:c r="P63" s="20" t="str">
        <x:v>No</x:v>
      </x:c>
      <x:c r="Q63" s="20" t="str">
        <x:v>人结肠癌HCT116细胞</x:v>
      </x:c>
      <x:c r="R63" s="20" t="str">
        <x:v>not captured in source extraction</x:v>
      </x:c>
      <x:c r="S63" s="20" t="str">
        <x:v>EMT/ECM/metastasis; Wnt/beta-catenin/stemness</x:v>
      </x:c>
      <x:c r="T63" s="20" t="str">
        <x:v>Direct mechanistic evidence requiring in vivo validation.</x:v>
      </x:c>
      <x:c r="U63" s="20" t="str">
        <x:v>2023</x:v>
      </x:c>
      <x:c r="V63" s="20" t="str">
        <x:v>2023/04/01</x:v>
      </x:c>
      <x:c r="W63" s="20" t="str">
        <x:v>beta-sitosterol</x:v>
      </x:c>
      <x:c r="X63" s="20" t="str">
        <x:v>坚果、植物油、谷物和人参等多种中药</x:v>
      </x:c>
      <x:c r="Y63" s="20" t="str">
        <x:v>Not established from supplied source field</x:v>
      </x:c>
      <x:c r="Z63" s="20" t="str">
        <x:v>Generic botanical, dietary, computational, or unspecified association</x:v>
      </x:c>
      <x:c r="AA63" s="20" t="str">
        <x:v>PMID 36603684; PMID36603684</x:v>
      </x:c>
      <x:c r="AB63" s="20" t="str">
        <x:v>Purified isolated compound(s): beta-sitosterol</x:v>
      </x:c>
      <x:c r="AC63" s="20" t="str">
        <x:v>One unique PMID-linked reference</x:v>
      </x:c>
    </x:row>
    <x:row r="64">
      <x:c r="A64" s="20" t="str">
        <x:v>36607523</x:v>
      </x:c>
      <x:c r="B64" s="20" t="str">
        <x:v>PMID36607523</x:v>
      </x:c>
      <x:c r="C64" s="20" t="str">
        <x:v>ellagic acid</x:v>
      </x:c>
      <x:c r="D64" s="20" t="str">
        <x:v>Polyphenols</x:v>
      </x:c>
      <x:c r="E64" s="20" t="str">
        <x:v>Ellagic acid inhibits mitochondrial fission protein Drp-1 and cell proliferation in cancer.</x:v>
      </x:c>
      <x:c r="F64" s="20" t="str">
        <x:v>Cell-only isolated monomer evidence</x:v>
      </x:c>
      <x:c r="G64" s="20" t="str">
        <x:v>Yes</x:v>
      </x:c>
      <x:c r="H64" s="20" t="str">
        <x:v>No</x:v>
      </x:c>
      <x:c r="I64" s="20" t="str">
        <x:v>Yes</x:v>
      </x:c>
      <x:c r="J64" s="20" t="str">
        <x:v>No</x:v>
      </x:c>
      <x:c r="K64" s="20" t="str">
        <x:v>No</x:v>
      </x:c>
      <x:c r="L64" s="20" t="str">
        <x:v>No</x:v>
      </x:c>
      <x:c r="M64" s="20" t="str">
        <x:v>No</x:v>
      </x:c>
      <x:c r="N64" s="20" t="str">
        <x:v>No</x:v>
      </x:c>
      <x:c r="O64" s="20" t="str">
        <x:v>No</x:v>
      </x:c>
      <x:c r="P64" s="20" t="str">
        <x:v>No</x:v>
      </x:c>
      <x:c r="Q64" s="20" t="str">
        <x:v>HCT116（结直肠癌）、MCF7（乳腺癌）细胞系</x:v>
      </x:c>
      <x:c r="R64" s="20" t="str">
        <x:v>not captured in source extraction</x:v>
      </x:c>
      <x:c r="S64" s="20" t="str">
        <x:v>Apoptosis/cell cycle</x:v>
      </x:c>
      <x:c r="T64" s="20" t="str">
        <x:v>Direct mechanistic evidence requiring in vivo validation.</x:v>
      </x:c>
      <x:c r="U64" s="20" t="str">
        <x:v>2023</x:v>
      </x:c>
      <x:c r="V64" s="20" t="str">
        <x:v>2023/09/01</x:v>
      </x:c>
      <x:c r="W64" s="20" t="str">
        <x:v>ellagic acid</x:v>
      </x:c>
      <x:c r="X64" s="20" t="str">
        <x:v>浆果、石榴和核桃等水果</x:v>
      </x:c>
      <x:c r="Y64" s="20" t="str">
        <x:v>Not established from supplied source field</x:v>
      </x:c>
      <x:c r="Z64" s="20" t="str">
        <x:v>Generic botanical, dietary, computational, or unspecified association</x:v>
      </x:c>
      <x:c r="AA64" s="20" t="str">
        <x:v>PMID 36607523; PMID36607523</x:v>
      </x:c>
      <x:c r="AB64" s="20" t="str">
        <x:v>Purified isolated compound(s): ellagic acid</x:v>
      </x:c>
      <x:c r="AC64" s="20" t="str">
        <x:v>One unique PMID-linked reference</x:v>
      </x:c>
    </x:row>
    <x:row r="65">
      <x:c r="A65" s="20" t="str">
        <x:v>36624500</x:v>
      </x:c>
      <x:c r="B65" s="20" t="str">
        <x:v>PMID36624500</x:v>
      </x:c>
      <x:c r="C65" s="20" t="str">
        <x:v>Stigmasterol</x:v>
      </x:c>
      <x:c r="D65" s="20" t="str">
        <x:v>Phytosterols</x:v>
      </x:c>
      <x:c r="E65" s="20" t="str">
        <x:v>Anti-colorectal cancer of Ardisia gigantifolia Stapf. and targets prediction via network pharmacology and molecular docking study.</x:v>
      </x:c>
      <x:c r="F65" s="20" t="str">
        <x:v>Network pharmacology/in silico evidence</x:v>
      </x:c>
      <x:c r="G65" s="20" t="str">
        <x:v>No</x:v>
      </x:c>
      <x:c r="H65" s="20" t="str">
        <x:v>No</x:v>
      </x:c>
      <x:c r="I65" s="20" t="str">
        <x:v>No</x:v>
      </x:c>
      <x:c r="J65" s="20" t="str">
        <x:v>No</x:v>
      </x:c>
      <x:c r="K65" s="20" t="str">
        <x:v>No</x:v>
      </x:c>
      <x:c r="L65" s="20" t="str">
        <x:v>No</x:v>
      </x:c>
      <x:c r="M65" s="20" t="str">
        <x:v>No</x:v>
      </x:c>
      <x:c r="N65" s="20" t="str">
        <x:v>No</x:v>
      </x:c>
      <x:c r="O65" s="20" t="str">
        <x:v>Yes</x:v>
      </x:c>
      <x:c r="P65" s="20" t="str">
        <x:v>No</x:v>
      </x:c>
      <x:c r="Q65" s="20" t="str">
        <x:v>HCT116 细胞（人结直肠癌细胞）
SW620 细胞（人结直肠癌细胞，转移来源）</x:v>
      </x:c>
      <x:c r="R65" s="20" t="str">
        <x:v>not captured in source extraction</x:v>
      </x:c>
      <x:c r="S65" s="20" t="str">
        <x:v>EMT/ECM/metastasis; MAPK/JNK/ERK</x:v>
      </x:c>
      <x:c r="T65" s="20" t="str">
        <x:v>Hypothesis generation only unless supported by a separate direct record.</x:v>
      </x:c>
      <x:c r="U65" s="20" t="str">
        <x:v>2023</x:v>
      </x:c>
      <x:c r="V65" s="20" t="str">
        <x:v>2023/01/09</x:v>
      </x:c>
      <x:c r="W65" s="20" t="str">
        <x:v>Stigmasterol</x:v>
      </x:c>
      <x:c r="X65" s="20" t="str">
        <x:v>Ardisia gigantifolia Stapf.走马胎/大叶紫金牛</x:v>
      </x:c>
      <x:c r="Y65" s="20" t="str">
        <x:v>Not established from supplied source field</x:v>
      </x:c>
      <x:c r="Z65" s="20" t="str">
        <x:v>Generic botanical, dietary, computational, or unspecified association</x:v>
      </x:c>
      <x:c r="AA65" s="20" t="str">
        <x:v>PMID 36624500; PMID36624500</x:v>
      </x:c>
      <x:c r="AB65" s="20" t="str">
        <x:v>Network pharmacology/in silico evidence</x:v>
      </x:c>
      <x:c r="AC65" s="20" t="str">
        <x:v>One unique PMID-linked reference</x:v>
      </x:c>
    </x:row>
    <x:row r="66">
      <x:c r="A66" s="20" t="str">
        <x:v>36652047</x:v>
      </x:c>
      <x:c r="B66" s="20" t="str">
        <x:v>PMID36652047</x:v>
      </x:c>
      <x:c r="C66" s="20" t="str">
        <x:v>Luteolin</x:v>
      </x:c>
      <x:c r="D66" s="20" t="str">
        <x:v>Flavonoids</x:v>
      </x:c>
      <x:c r="E66" s="20" t="str">
        <x:v>The Determination of Cisplatin and Luteolin Synergistic Effect on Colorectal Cancer Cell Apoptosis and Mitochondrial Dysfunction by Fluorescence Labelling.</x:v>
      </x:c>
      <x:c r="F66" s="20" t="str">
        <x:v>Cell-only isolated monomer evidence</x:v>
      </x:c>
      <x:c r="G66" s="20" t="str">
        <x:v>Yes</x:v>
      </x:c>
      <x:c r="H66" s="20" t="str">
        <x:v>No</x:v>
      </x:c>
      <x:c r="I66" s="20" t="str">
        <x:v>Yes</x:v>
      </x:c>
      <x:c r="J66" s="20" t="str">
        <x:v>Yes</x:v>
      </x:c>
      <x:c r="K66" s="20" t="str">
        <x:v>No</x:v>
      </x:c>
      <x:c r="L66" s="20" t="str">
        <x:v>No</x:v>
      </x:c>
      <x:c r="M66" s="20" t="str">
        <x:v>No</x:v>
      </x:c>
      <x:c r="N66" s="20" t="str">
        <x:v>No</x:v>
      </x:c>
      <x:c r="O66" s="20" t="str">
        <x:v>No</x:v>
      </x:c>
      <x:c r="P66" s="20" t="str">
        <x:v>No</x:v>
      </x:c>
      <x:c r="Q66" s="20" t="str">
        <x:v>HCT116结直肠癌细胞</x:v>
      </x:c>
      <x:c r="R66" s="20" t="str">
        <x:v>not captured in source extraction</x:v>
      </x:c>
      <x:c r="S66" s="20" t="str">
        <x:v>Apoptosis/cell cycle</x:v>
      </x:c>
      <x:c r="T66" s="20" t="str">
        <x:v>Direct mechanistic evidence requiring in vivo validation.</x:v>
      </x:c>
      <x:c r="U66" s="20" t="str">
        <x:v>2023</x:v>
      </x:c>
      <x:c r="V66" s="20" t="str">
        <x:v>2023/05/01</x:v>
      </x:c>
      <x:c r="W66" s="20" t="str">
        <x:v>Luteolin</x:v>
      </x:c>
      <x:c r="X66" s="20" t="str">
        <x:v>胡萝卜、辣椒、芹菜、橄榄油、薄荷、百里香和迷迭香</x:v>
      </x:c>
      <x:c r="Y66" s="20" t="str">
        <x:v>Not established from this row alone</x:v>
      </x:c>
      <x:c r="Z66" s="20" t="str">
        <x:v>Dietary, generic botanical, or non-specific natural-product source</x:v>
      </x:c>
      <x:c r="AA66" s="20" t="str">
        <x:v>PMID 36652047; PMID36652047</x:v>
      </x:c>
      <x:c r="AB66" s="20" t="str">
        <x:v>Purified isolated compound(s): Luteolin</x:v>
      </x:c>
      <x:c r="AC66" s="20" t="str">
        <x:v>One unique PMID-linked reference</x:v>
      </x:c>
    </x:row>
    <x:row r="67">
      <x:c r="A67" s="20" t="str">
        <x:v>36678939</x:v>
      </x:c>
      <x:c r="B67" s="20" t="str">
        <x:v>PMID36678939</x:v>
      </x:c>
      <x:c r="C67" s="20" t="str">
        <x:v>catechin</x:v>
      </x:c>
      <x:c r="D67" s="20" t="str">
        <x:v>Flavonoids</x:v>
      </x:c>
      <x:c r="E67" s="20" t="str">
        <x:v>Arecaceae Seeds Constitute a Healthy Source of Fatty Acids and Phenolic Compounds.</x:v>
      </x:c>
      <x:c r="F67" s="20" t="str">
        <x:v>Extract/formula/decoction contextual evidence</x:v>
      </x:c>
      <x:c r="G67" s="20" t="str">
        <x:v>No</x:v>
      </x:c>
      <x:c r="H67" s="20" t="str">
        <x:v>No</x:v>
      </x:c>
      <x:c r="I67" s="20" t="str">
        <x:v>No</x:v>
      </x:c>
      <x:c r="J67" s="20" t="str">
        <x:v>No</x:v>
      </x:c>
      <x:c r="K67" s="20" t="str">
        <x:v>No</x:v>
      </x:c>
      <x:c r="L67" s="20" t="str">
        <x:v>No</x:v>
      </x:c>
      <x:c r="M67" s="20" t="str">
        <x:v>No</x:v>
      </x:c>
      <x:c r="N67" s="20" t="str">
        <x:v>Yes</x:v>
      </x:c>
      <x:c r="O67" s="20" t="str">
        <x:v>No</x:v>
      </x:c>
      <x:c r="P67" s="20" t="str">
        <x:v>No</x:v>
      </x:c>
      <x:c r="Q67" s="20" t="str">
        <x:v>人结直肠癌细胞系 HT-29</x:v>
      </x:c>
      <x:c r="R67" s="20" t="str">
        <x:v>not captured in source extraction</x:v>
      </x:c>
      <x:c r="S67" s="20" t="str"/>
      <x:c r="T67" s="20" t="str">
        <x:v>Context only; preparation effects are not assigned to an isolated monomer.</x:v>
      </x:c>
      <x:c r="U67" s="20" t="str">
        <x:v>2023</x:v>
      </x:c>
      <x:c r="V67" s="20" t="str">
        <x:v>2023/01/04</x:v>
      </x:c>
      <x:c r="W67" s="20" t="str">
        <x:v>catechin</x:v>
      </x:c>
      <x:c r="X67" s="20" t="str">
        <x:v>棕榈科（Arecaceae）植物的种子：Cocos nucifera（椰子）、Sabal minor（矮棕）</x:v>
      </x:c>
      <x:c r="Y67" s="20" t="str">
        <x:v>Not established from supplied source field</x:v>
      </x:c>
      <x:c r="Z67" s="20" t="str">
        <x:v>Generic botanical, dietary, computational, or unspecified association</x:v>
      </x:c>
      <x:c r="AA67" s="20" t="str">
        <x:v>PMID 36678939; PMID36678939</x:v>
      </x:c>
      <x:c r="AB67" s="20" t="str">
        <x:v>Extract/formula/decoction contextual evidence</x:v>
      </x:c>
      <x:c r="AC67" s="20" t="str">
        <x:v>One unique PMID-linked reference</x:v>
      </x:c>
    </x:row>
    <x:row r="68">
      <x:c r="A68" s="20" t="str">
        <x:v>36684054</x:v>
      </x:c>
      <x:c r="B68" s="20" t="str">
        <x:v>PMID36684054</x:v>
      </x:c>
      <x:c r="C68" s="20" t="str">
        <x:v>Kaempferol; beta-sitosterol</x:v>
      </x:c>
      <x:c r="D68" s="20" t="str">
        <x:v>Flavonoids; Phytosterols</x:v>
      </x:c>
      <x:c r="E68" s="20" t="str">
        <x:v>Network pharmacology-based analysis of heat clearing and detoxifying drug JC724 on the treatment of colorectal cancer.</x:v>
      </x:c>
      <x:c r="F68" s="20" t="str">
        <x:v>Network pharmacology/in silico evidence</x:v>
      </x:c>
      <x:c r="G68" s="20" t="str">
        <x:v>No</x:v>
      </x:c>
      <x:c r="H68" s="20" t="str">
        <x:v>No</x:v>
      </x:c>
      <x:c r="I68" s="20" t="str">
        <x:v>No</x:v>
      </x:c>
      <x:c r="J68" s="20" t="str">
        <x:v>No</x:v>
      </x:c>
      <x:c r="K68" s="20" t="str">
        <x:v>No</x:v>
      </x:c>
      <x:c r="L68" s="20" t="str">
        <x:v>Yes</x:v>
      </x:c>
      <x:c r="M68" s="20" t="str">
        <x:v>No</x:v>
      </x:c>
      <x:c r="N68" s="20" t="str">
        <x:v>No</x:v>
      </x:c>
      <x:c r="O68" s="20" t="str">
        <x:v>Yes</x:v>
      </x:c>
      <x:c r="P68" s="20" t="str">
        <x:v>No</x:v>
      </x:c>
      <x:c r="Q68" s="20" t="str">
        <x:v>网络药理学 + 转录组分析（in silico） | 网络药理学与转录组联合</x:v>
      </x:c>
      <x:c r="R68" s="20" t="str">
        <x:v>not captured in source extraction</x:v>
      </x:c>
      <x:c r="S68" s="20" t="str">
        <x:v>NF-kB/STAT3/inflammation; ROS/ferroptosis</x:v>
      </x:c>
      <x:c r="T68" s="20" t="str">
        <x:v>Hypothesis generation only unless supported by a separate direct record.</x:v>
      </x:c>
      <x:c r="U68" s="20" t="str">
        <x:v>2023</x:v>
      </x:c>
      <x:c r="V68" s="20" t="str">
        <x:v>2023/01/15</x:v>
      </x:c>
      <x:c r="W68" s="20" t="str">
        <x:v>Kaempferol; beta-sitosterol</x:v>
      </x:c>
      <x:c r="X68" s="20" t="str">
        <x:v>清热解毒药 JC724; 中药复方制剂 JC724</x:v>
      </x:c>
      <x:c r="Y68" s="20" t="str">
        <x:v>Source-dependent—named Chinese medicinal material or TCM preparation recorded</x:v>
      </x:c>
      <x:c r="Z68" s="20" t="str">
        <x:v>Requires source-level constituent verification for the specific record</x:v>
      </x:c>
      <x:c r="AA68" s="20" t="str">
        <x:v>PMID 36684054; PMID36684054</x:v>
      </x:c>
      <x:c r="AB68" s="20" t="str">
        <x:v>Network pharmacology/in silico evidence</x:v>
      </x:c>
      <x:c r="AC68" s="20" t="str">
        <x:v>One unique PMID-linked reference</x:v>
      </x:c>
    </x:row>
    <x:row r="69">
      <x:c r="A69" s="20" t="str">
        <x:v>36701898</x:v>
      </x:c>
      <x:c r="B69" s="20" t="str">
        <x:v>PMID36701898</x:v>
      </x:c>
      <x:c r="C69" s="20" t="str">
        <x:v>ellagic acid</x:v>
      </x:c>
      <x:c r="D69" s="20" t="str">
        <x:v>Polyphenols</x:v>
      </x:c>
      <x:c r="E69" s="20" t="str">
        <x:v>Ellagic acid induces apoptosis and autophagy in colon cancer through the AMPK/mTOR pathway.</x:v>
      </x:c>
      <x:c r="F69" s="20" t="str">
        <x:v>Cell-only isolated monomer evidence</x:v>
      </x:c>
      <x:c r="G69" s="20" t="str">
        <x:v>Yes</x:v>
      </x:c>
      <x:c r="H69" s="20" t="str">
        <x:v>No</x:v>
      </x:c>
      <x:c r="I69" s="20" t="str">
        <x:v>Yes</x:v>
      </x:c>
      <x:c r="J69" s="20" t="str">
        <x:v>No</x:v>
      </x:c>
      <x:c r="K69" s="20" t="str">
        <x:v>No</x:v>
      </x:c>
      <x:c r="L69" s="20" t="str">
        <x:v>No</x:v>
      </x:c>
      <x:c r="M69" s="20" t="str">
        <x:v>No</x:v>
      </x:c>
      <x:c r="N69" s="20" t="str">
        <x:v>No</x:v>
      </x:c>
      <x:c r="O69" s="20" t="str">
        <x:v>No</x:v>
      </x:c>
      <x:c r="P69" s="20" t="str">
        <x:v>No</x:v>
      </x:c>
      <x:c r="Q69" s="20" t="str">
        <x:v>人结肠癌细胞 HCT116</x:v>
      </x:c>
      <x:c r="R69" s="20" t="str">
        <x:v>not captured in source extraction</x:v>
      </x:c>
      <x:c r="S69" s="20" t="str">
        <x:v>Apoptosis/cell cycle; PI3K/Akt/mTOR/metabolism</x:v>
      </x:c>
      <x:c r="T69" s="20" t="str">
        <x:v>Direct mechanistic evidence requiring in vivo validation.</x:v>
      </x:c>
      <x:c r="U69" s="20" t="str">
        <x:v>2023</x:v>
      </x:c>
      <x:c r="V69" s="20" t="str">
        <x:v>2023/04/01</x:v>
      </x:c>
      <x:c r="W69" s="20" t="str">
        <x:v>ellagic acid</x:v>
      </x:c>
      <x:c r="X69" s="20" t="str">
        <x:v>水果和食物</x:v>
      </x:c>
      <x:c r="Y69" s="20" t="str">
        <x:v>Not established from supplied source field</x:v>
      </x:c>
      <x:c r="Z69" s="20" t="str">
        <x:v>Generic botanical, dietary, computational, or unspecified association</x:v>
      </x:c>
      <x:c r="AA69" s="20" t="str">
        <x:v>PMID 36701898; PMID36701898</x:v>
      </x:c>
      <x:c r="AB69" s="20" t="str">
        <x:v>Purified isolated compound(s): ellagic acid</x:v>
      </x:c>
      <x:c r="AC69" s="20" t="str">
        <x:v>One unique PMID-linked reference</x:v>
      </x:c>
    </x:row>
    <x:row r="70">
      <x:c r="A70" s="20" t="str">
        <x:v>36735641</x:v>
      </x:c>
      <x:c r="B70" s="20" t="str">
        <x:v>PMID36735641</x:v>
      </x:c>
      <x:c r="C70" s="20" t="str">
        <x:v>Kaempferol; Luteolin; Stigmasterol; beta-sitosterol</x:v>
      </x:c>
      <x:c r="D70" s="20" t="str">
        <x:v>Flavonoids; Phytosterols</x:v>
      </x:c>
      <x:c r="E70" s="20" t="str">
        <x:v>Exploring the mechanism of action of Yiyi Fuzi Baijiang powder in colorectal cancer based on network pharmacology and molecular docking studies.</x:v>
      </x:c>
      <x:c r="F70" s="20" t="str">
        <x:v>Extract/formula/decoction contextual evidence</x:v>
      </x:c>
      <x:c r="G70" s="20" t="str">
        <x:v>No</x:v>
      </x:c>
      <x:c r="H70" s="20" t="str">
        <x:v>No</x:v>
      </x:c>
      <x:c r="I70" s="20" t="str">
        <x:v>No</x:v>
      </x:c>
      <x:c r="J70" s="20" t="str">
        <x:v>No</x:v>
      </x:c>
      <x:c r="K70" s="20" t="str">
        <x:v>No</x:v>
      </x:c>
      <x:c r="L70" s="20" t="str">
        <x:v>No</x:v>
      </x:c>
      <x:c r="M70" s="20" t="str">
        <x:v>No</x:v>
      </x:c>
      <x:c r="N70" s="20" t="str">
        <x:v>Yes</x:v>
      </x:c>
      <x:c r="O70" s="20" t="str">
        <x:v>Yes</x:v>
      </x:c>
      <x:c r="P70" s="20" t="str">
        <x:v>No</x:v>
      </x:c>
      <x:c r="Q70" s="20" t="str">
        <x:v>not reported | 网络药理学和分子对接</x:v>
      </x:c>
      <x:c r="R70" s="20" t="str">
        <x:v>not captured in source extraction</x:v>
      </x:c>
      <x:c r="S70" s="20" t="str">
        <x:v>Apoptosis/cell cycle; MAPK/JNK/ERK; PI3K/Akt/mTOR/metabolism</x:v>
      </x:c>
      <x:c r="T70" s="20" t="str">
        <x:v>Context only; preparation effects are not assigned to an isolated monomer.</x:v>
      </x:c>
      <x:c r="U70" s="20" t="str">
        <x:v>2023</x:v>
      </x:c>
      <x:c r="V70" s="20" t="str">
        <x:v>2023/10/01</x:v>
      </x:c>
      <x:c r="W70" s="20" t="str">
        <x:v>Kaempferol; Luteolin; Stigmasterol; beta-sitosterol</x:v>
      </x:c>
      <x:c r="X70" s="20" t="str">
        <x:v>薏苡附子败酱散</x:v>
      </x:c>
      <x:c r="Y70" s="20" t="str">
        <x:v>Source-dependent—named Chinese medicinal material or TCM preparation recorded</x:v>
      </x:c>
      <x:c r="Z70" s="20" t="str">
        <x:v>Requires source-level constituent verification for the specific record</x:v>
      </x:c>
      <x:c r="AA70" s="20" t="str">
        <x:v>PMID 36735641; PMID36735641</x:v>
      </x:c>
      <x:c r="AB70" s="20" t="str">
        <x:v>Extract/formula/decoction contextual evidence</x:v>
      </x:c>
      <x:c r="AC70" s="20" t="str">
        <x:v>One unique PMID-linked reference</x:v>
      </x:c>
    </x:row>
    <x:row r="71">
      <x:c r="A71" s="20" t="str">
        <x:v>36820999</x:v>
      </x:c>
      <x:c r="B71" s="20" t="str">
        <x:v>PMID36820999</x:v>
      </x:c>
      <x:c r="C71" s="20" t="str">
        <x:v>ellagic acid</x:v>
      </x:c>
      <x:c r="D71" s="20" t="str">
        <x:v>Polyphenols</x:v>
      </x:c>
      <x:c r="E71" s="20" t="str">
        <x:v>Jaboticaba (Myrciaria cauliflora) Fruit Extract Suppressed Aberrant Crypt Formation in 1,2-Dimetylhydrazine-Induced Rats.</x:v>
      </x:c>
      <x:c r="F71" s="20" t="str">
        <x:v>Extract/formula/decoction contextual evidence</x:v>
      </x:c>
      <x:c r="G71" s="20" t="str">
        <x:v>No</x:v>
      </x:c>
      <x:c r="H71" s="20" t="str">
        <x:v>No</x:v>
      </x:c>
      <x:c r="I71" s="20" t="str">
        <x:v>No</x:v>
      </x:c>
      <x:c r="J71" s="20" t="str">
        <x:v>No</x:v>
      </x:c>
      <x:c r="K71" s="20" t="str">
        <x:v>No</x:v>
      </x:c>
      <x:c r="L71" s="20" t="str">
        <x:v>No</x:v>
      </x:c>
      <x:c r="M71" s="20" t="str">
        <x:v>No</x:v>
      </x:c>
      <x:c r="N71" s="20" t="str">
        <x:v>Yes</x:v>
      </x:c>
      <x:c r="O71" s="20" t="str">
        <x:v>No</x:v>
      </x:c>
      <x:c r="P71" s="20" t="str">
        <x:v>No</x:v>
      </x:c>
      <x:c r="Q71" s="20" t="str">
        <x:v>DMH诱导的大鼠结直肠癌前病变模型，口服FEX干预56天</x:v>
      </x:c>
      <x:c r="R71" s="20" t="str">
        <x:v>not captured in source extraction</x:v>
      </x:c>
      <x:c r="S71" s="20" t="str"/>
      <x:c r="T71" s="20" t="str">
        <x:v>Context only; preparation effects are not assigned to an isolated monomer.</x:v>
      </x:c>
      <x:c r="U71" s="20" t="str">
        <x:v>2023</x:v>
      </x:c>
      <x:c r="V71" s="20" t="str">
        <x:v>2023/06/01</x:v>
      </x:c>
      <x:c r="W71" s="20" t="str">
        <x:v>ellagic acid</x:v>
      </x:c>
      <x:c r="X71" s="20" t="str">
        <x:v>Jaboticaba 果实乙醇提取物（FEX）</x:v>
      </x:c>
      <x:c r="Y71" s="20" t="str">
        <x:v>Not established from supplied source field</x:v>
      </x:c>
      <x:c r="Z71" s="20" t="str">
        <x:v>Generic botanical, dietary, computational, or unspecified association</x:v>
      </x:c>
      <x:c r="AA71" s="20" t="str">
        <x:v>PMID 36820999; PMID36820999</x:v>
      </x:c>
      <x:c r="AB71" s="20" t="str">
        <x:v>Extract/formula/decoction contextual evidence</x:v>
      </x:c>
      <x:c r="AC71" s="20" t="str">
        <x:v>One unique PMID-linked reference</x:v>
      </x:c>
    </x:row>
    <x:row r="72">
      <x:c r="A72" s="20" t="str">
        <x:v>36836848</x:v>
      </x:c>
      <x:c r="B72" s="20" t="str">
        <x:v>PMID36836848</x:v>
      </x:c>
      <x:c r="C72" s="20" t="str">
        <x:v>silibinin</x:v>
      </x:c>
      <x:c r="D72" s="20" t="str">
        <x:v>Flavonoids</x:v>
      </x:c>
      <x:c r="E72" s="20" t="str">
        <x:v>Silybin Showed Higher Cytotoxic, Antiproliferative, and Anti-Inflammatory Activities in the CaCo Cancer Cell Line while Retaining Viability and Proliferation in Normal Intestinal IPEC-1 Cells.</x:v>
      </x:c>
      <x:c r="F72" s="20" t="str">
        <x:v>Cell-only isolated monomer evidence</x:v>
      </x:c>
      <x:c r="G72" s="20" t="str">
        <x:v>Yes</x:v>
      </x:c>
      <x:c r="H72" s="20" t="str">
        <x:v>No</x:v>
      </x:c>
      <x:c r="I72" s="20" t="str">
        <x:v>Yes</x:v>
      </x:c>
      <x:c r="J72" s="20" t="str">
        <x:v>No</x:v>
      </x:c>
      <x:c r="K72" s="20" t="str">
        <x:v>No</x:v>
      </x:c>
      <x:c r="L72" s="20" t="str">
        <x:v>No</x:v>
      </x:c>
      <x:c r="M72" s="20" t="str">
        <x:v>No</x:v>
      </x:c>
      <x:c r="N72" s="20" t="str">
        <x:v>No</x:v>
      </x:c>
      <x:c r="O72" s="20" t="str">
        <x:v>No</x:v>
      </x:c>
      <x:c r="P72" s="20" t="str">
        <x:v>No</x:v>
      </x:c>
      <x:c r="Q72" s="20" t="str">
        <x:v>体外细胞模型
正常细胞：正常猪小肠上皮细胞系-1 (IPEC-1)
肿瘤细胞：人结肠腺癌上皮细胞系 (CaCo-2)</x:v>
      </x:c>
      <x:c r="R72" s="20" t="str">
        <x:v>not captured in source extraction</x:v>
      </x:c>
      <x:c r="S72" s="20" t="str">
        <x:v>Apoptosis/cell cycle; NF-kB/STAT3/inflammation; Wnt/beta-catenin/stemness</x:v>
      </x:c>
      <x:c r="T72" s="20" t="str">
        <x:v>Direct mechanistic evidence requiring in vivo validation.</x:v>
      </x:c>
      <x:c r="U72" s="20" t="str">
        <x:v>2023</x:v>
      </x:c>
      <x:c r="V72" s="20" t="str">
        <x:v>2023/02/10</x:v>
      </x:c>
      <x:c r="W72" s="20" t="str">
        <x:v>silibinin</x:v>
      </x:c>
      <x:c r="X72" s="20" t="str">
        <x:v>植物提取物水飞蓟素</x:v>
      </x:c>
      <x:c r="Y72" s="20" t="str">
        <x:v>Not established from supplied source field</x:v>
      </x:c>
      <x:c r="Z72" s="20" t="str">
        <x:v>Generic botanical, dietary, computational, or unspecified association</x:v>
      </x:c>
      <x:c r="AA72" s="20" t="str">
        <x:v>PMID 36836848; PMID36836848</x:v>
      </x:c>
      <x:c r="AB72" s="20" t="str">
        <x:v>Purified isolated compound(s): silibinin</x:v>
      </x:c>
      <x:c r="AC72" s="20" t="str">
        <x:v>One unique PMID-linked reference</x:v>
      </x:c>
    </x:row>
    <x:row r="73">
      <x:c r="A73" s="20" t="str">
        <x:v>36847079</x:v>
      </x:c>
      <x:c r="B73" s="20" t="str">
        <x:v>PMID36847079</x:v>
      </x:c>
      <x:c r="C73" s="20" t="str">
        <x:v>ellagic acid</x:v>
      </x:c>
      <x:c r="D73" s="20" t="str">
        <x:v>Polyphenols</x:v>
      </x:c>
      <x:c r="E73" s="20" t="str">
        <x:v>Ellagic acid inhibits human colon cancer HCT-116 cells by regulating long noncoding RNAs.</x:v>
      </x:c>
      <x:c r="F73" s="20" t="str">
        <x:v>Cell-only isolated monomer evidence</x:v>
      </x:c>
      <x:c r="G73" s="20" t="str">
        <x:v>Yes</x:v>
      </x:c>
      <x:c r="H73" s="20" t="str">
        <x:v>No</x:v>
      </x:c>
      <x:c r="I73" s="20" t="str">
        <x:v>Yes</x:v>
      </x:c>
      <x:c r="J73" s="20" t="str">
        <x:v>No</x:v>
      </x:c>
      <x:c r="K73" s="20" t="str">
        <x:v>No</x:v>
      </x:c>
      <x:c r="L73" s="20" t="str">
        <x:v>No</x:v>
      </x:c>
      <x:c r="M73" s="20" t="str">
        <x:v>No</x:v>
      </x:c>
      <x:c r="N73" s="20" t="str">
        <x:v>No</x:v>
      </x:c>
      <x:c r="O73" s="20" t="str">
        <x:v>No</x:v>
      </x:c>
      <x:c r="P73" s="20" t="str">
        <x:v>No</x:v>
      </x:c>
      <x:c r="Q73" s="20" t="str">
        <x:v>人结肠癌 HCT-116 细胞系</x:v>
      </x:c>
      <x:c r="R73" s="20" t="str">
        <x:v>not captured in source extraction</x:v>
      </x:c>
      <x:c r="S73" s="20" t="str">
        <x:v>Apoptosis/cell cycle</x:v>
      </x:c>
      <x:c r="T73" s="20" t="str">
        <x:v>Direct mechanistic evidence requiring in vivo validation.</x:v>
      </x:c>
      <x:c r="U73" s="20" t="str">
        <x:v>2023</x:v>
      </x:c>
      <x:c r="V73" s="20" t="str">
        <x:v>2023/11/01</x:v>
      </x:c>
      <x:c r="W73" s="20" t="str">
        <x:v>ellagic acid</x:v>
      </x:c>
      <x:c r="X73" s="20" t="str">
        <x:v>木本植物和水果中，如坚果、葡萄和浆果。</x:v>
      </x:c>
      <x:c r="Y73" s="20" t="str">
        <x:v>Not established from supplied source field</x:v>
      </x:c>
      <x:c r="Z73" s="20" t="str">
        <x:v>Generic botanical, dietary, computational, or unspecified association</x:v>
      </x:c>
      <x:c r="AA73" s="20" t="str">
        <x:v>PMID 36847079; PMID36847079</x:v>
      </x:c>
      <x:c r="AB73" s="20" t="str">
        <x:v>Purified isolated compound(s): ellagic acid</x:v>
      </x:c>
      <x:c r="AC73" s="20" t="str">
        <x:v>One unique PMID-linked reference</x:v>
      </x:c>
    </x:row>
    <x:row r="74">
      <x:c r="A74" s="20" t="str">
        <x:v>36914635</x:v>
      </x:c>
      <x:c r="B74" s="20" t="str">
        <x:v>PMID36914635</x:v>
      </x:c>
      <x:c r="C74" s="20" t="str">
        <x:v>sanguinarine</x:v>
      </x:c>
      <x:c r="D74" s="20" t="str">
        <x:v>Alkaloids</x:v>
      </x:c>
      <x:c r="E74" s="20" t="str">
        <x:v>Targeting oxeiptosis-mediated tumor suppression: a novel approach to treat colorectal cancers by sanguinarine.</x:v>
      </x:c>
      <x:c r="F74" s="20" t="str">
        <x:v>Animal-validated isolated monomer evidence</x:v>
      </x:c>
      <x:c r="G74" s="20" t="str">
        <x:v>Yes</x:v>
      </x:c>
      <x:c r="H74" s="20" t="str">
        <x:v>Yes</x:v>
      </x:c>
      <x:c r="I74" s="20" t="str">
        <x:v>No</x:v>
      </x:c>
      <x:c r="J74" s="20" t="str">
        <x:v>No</x:v>
      </x:c>
      <x:c r="K74" s="20" t="str">
        <x:v>No</x:v>
      </x:c>
      <x:c r="L74" s="20" t="str">
        <x:v>Yes</x:v>
      </x:c>
      <x:c r="M74" s="20" t="str">
        <x:v>No</x:v>
      </x:c>
      <x:c r="N74" s="20" t="str">
        <x:v>No</x:v>
      </x:c>
      <x:c r="O74" s="20" t="str">
        <x:v>No</x:v>
      </x:c>
      <x:c r="P74" s="20" t="str">
        <x:v>No</x:v>
      </x:c>
      <x:c r="Q74" s="20" t="str">
        <x:v>体外模型：人结直肠癌（CRC）细胞
体内模型：HT-29 移植瘤小鼠模型</x:v>
      </x:c>
      <x:c r="R74" s="20" t="str">
        <x:v>not captured in source extraction</x:v>
      </x:c>
      <x:c r="S74" s="20" t="str">
        <x:v>Apoptosis/cell cycle; NF-kB/STAT3/inflammation; ROS/ferroptosis</x:v>
      </x:c>
      <x:c r="T74" s="20" t="str">
        <x:v>High-information direct preclinical evidence.</x:v>
      </x:c>
      <x:c r="U74" s="20" t="str">
        <x:v>2023</x:v>
      </x:c>
      <x:c r="V74" s="20" t="str">
        <x:v>2023/03/13</x:v>
      </x:c>
      <x:c r="W74" s="20" t="str">
        <x:v>sanguinarine</x:v>
      </x:c>
      <x:c r="X74" s="20" t="str">
        <x:v>加拿大血根菌</x:v>
      </x:c>
      <x:c r="Y74" s="20" t="str">
        <x:v>No—direct Chinese materia medica association not established in supplied sources</x:v>
      </x:c>
      <x:c r="Z74" s="20" t="str">
        <x:v>Related natural-product evidence only</x:v>
      </x:c>
      <x:c r="AA74" s="20" t="str">
        <x:v>PMID 36914635; PMID36914635</x:v>
      </x:c>
      <x:c r="AB74" s="20" t="str">
        <x:v>Purified isolated compound(s): sanguinarine</x:v>
      </x:c>
      <x:c r="AC74" s="20" t="str">
        <x:v>One unique PMID-linked reference</x:v>
      </x:c>
    </x:row>
    <x:row r="75">
      <x:c r="A75" s="20" t="str">
        <x:v>37085076</x:v>
      </x:c>
      <x:c r="B75" s="20" t="str">
        <x:v>PMID37085076</x:v>
      </x:c>
      <x:c r="C75" s="20" t="str">
        <x:v>Luteolin; catechin</x:v>
      </x:c>
      <x:c r="D75" s="20" t="str">
        <x:v>Flavonoids</x:v>
      </x:c>
      <x:c r="E75" s="20" t="str">
        <x:v>Flavonoids nanostructures promising therapeutic efficiencies in colorectal cancer.</x:v>
      </x:c>
      <x:c r="F75" s="20" t="str">
        <x:v>Formulation/nanodelivery contextual evidence</x:v>
      </x:c>
      <x:c r="G75" s="20" t="str">
        <x:v>No</x:v>
      </x:c>
      <x:c r="H75" s="20" t="str">
        <x:v>No</x:v>
      </x:c>
      <x:c r="I75" s="20" t="str">
        <x:v>No</x:v>
      </x:c>
      <x:c r="J75" s="20" t="str">
        <x:v>No</x:v>
      </x:c>
      <x:c r="K75" s="20" t="str">
        <x:v>No</x:v>
      </x:c>
      <x:c r="L75" s="20" t="str">
        <x:v>Yes</x:v>
      </x:c>
      <x:c r="M75" s="20" t="str">
        <x:v>Yes</x:v>
      </x:c>
      <x:c r="N75" s="20" t="str">
        <x:v>No</x:v>
      </x:c>
      <x:c r="O75" s="20" t="str">
        <x:v>No</x:v>
      </x:c>
      <x:c r="P75" s="20" t="str">
        <x:v>No</x:v>
      </x:c>
      <x:c r="Q75" s="20" t="str">
        <x:v>体外模型：Caco-2 / HT-29 共培养细胞系
体内模型：荷瘤小鼠</x:v>
      </x:c>
      <x:c r="R75" s="20" t="str">
        <x:v>not captured in source extraction</x:v>
      </x:c>
      <x:c r="S75" s="20" t="str">
        <x:v>ROS/ferroptosis</x:v>
      </x:c>
      <x:c r="T75" s="20" t="str">
        <x:v>Context only; the delivery system cannot be attributed to isolated monomer activity.</x:v>
      </x:c>
      <x:c r="U75" s="20" t="str">
        <x:v>2023</x:v>
      </x:c>
      <x:c r="V75" s="20" t="str">
        <x:v>2023/06/30</x:v>
      </x:c>
      <x:c r="W75" s="20" t="str">
        <x:v>Luteolin; catechin</x:v>
      </x:c>
      <x:c r="X75" s="20" t="str">
        <x:v>茶叶和各种水果（苹果和李子）、山核桃、洋葱、蔬菜和植物性饮料</x:v>
      </x:c>
      <x:c r="Y75" s="20" t="str">
        <x:v>Not established from this row alone</x:v>
      </x:c>
      <x:c r="Z75" s="20" t="str">
        <x:v>Dietary, generic botanical, or non-specific natural-product source</x:v>
      </x:c>
      <x:c r="AA75" s="20" t="str">
        <x:v>PMID 37085076; PMID37085076</x:v>
      </x:c>
      <x:c r="AB75" s="20" t="str">
        <x:v>Formulation/nanodelivery contextual evidence</x:v>
      </x:c>
      <x:c r="AC75" s="20" t="str">
        <x:v>One unique PMID-linked reference</x:v>
      </x:c>
    </x:row>
    <x:row r="76">
      <x:c r="A76" s="20" t="str">
        <x:v>37237848</x:v>
      </x:c>
      <x:c r="B76" s="20" t="str">
        <x:v>PMID37237848</x:v>
      </x:c>
      <x:c r="C76" s="20" t="str">
        <x:v>ellagic acid</x:v>
      </x:c>
      <x:c r="D76" s="20" t="str">
        <x:v>Polyphenols</x:v>
      </x:c>
      <x:c r="E76" s="20" t="str">
        <x:v>Antioxidant and Anti-Inflammatory Properties of Walnut Constituents: Focus on Personalized Cancer Prevention and the Microbiome.</x:v>
      </x:c>
      <x:c r="F76" s="20" t="str">
        <x:v>Extract/formula/decoction contextual evidence</x:v>
      </x:c>
      <x:c r="G76" s="20" t="str">
        <x:v>No</x:v>
      </x:c>
      <x:c r="H76" s="20" t="str">
        <x:v>No</x:v>
      </x:c>
      <x:c r="I76" s="20" t="str">
        <x:v>No</x:v>
      </x:c>
      <x:c r="J76" s="20" t="str">
        <x:v>No</x:v>
      </x:c>
      <x:c r="K76" s="20" t="str">
        <x:v>No</x:v>
      </x:c>
      <x:c r="L76" s="20" t="str">
        <x:v>No</x:v>
      </x:c>
      <x:c r="M76" s="20" t="str">
        <x:v>No</x:v>
      </x:c>
      <x:c r="N76" s="20" t="str">
        <x:v>Yes</x:v>
      </x:c>
      <x:c r="O76" s="20" t="str">
        <x:v>No</x:v>
      </x:c>
      <x:c r="P76" s="20" t="str">
        <x:v>No</x:v>
      </x:c>
      <x:c r="Q76" s="20" t="str">
        <x:v>使用二甲基肼（DMH）诱导的小鼠结直肠癌模型</x:v>
      </x:c>
      <x:c r="R76" s="20" t="str">
        <x:v>not captured in source extraction</x:v>
      </x:c>
      <x:c r="S76" s="20" t="str">
        <x:v>NF-kB/STAT3/inflammation</x:v>
      </x:c>
      <x:c r="T76" s="20" t="str">
        <x:v>Context only; preparation effects are not assigned to an isolated monomer.</x:v>
      </x:c>
      <x:c r="U76" s="20" t="str">
        <x:v>2023</x:v>
      </x:c>
      <x:c r="V76" s="20" t="str">
        <x:v>2023/04/22</x:v>
      </x:c>
      <x:c r="W76" s="20" t="str">
        <x:v>ellagic acid</x:v>
      </x:c>
      <x:c r="X76" s="20" t="str">
        <x:v>植物</x:v>
      </x:c>
      <x:c r="Y76" s="20" t="str">
        <x:v>Not established from supplied source field</x:v>
      </x:c>
      <x:c r="Z76" s="20" t="str">
        <x:v>Generic botanical, dietary, computational, or unspecified association</x:v>
      </x:c>
      <x:c r="AA76" s="20" t="str">
        <x:v>PMID 37237848; PMID37237848</x:v>
      </x:c>
      <x:c r="AB76" s="20" t="str">
        <x:v>Extract/formula/decoction contextual evidence</x:v>
      </x:c>
      <x:c r="AC76" s="20" t="str">
        <x:v>One unique PMID-linked reference</x:v>
      </x:c>
    </x:row>
    <x:row r="77">
      <x:c r="A77" s="20" t="str">
        <x:v>37256897</x:v>
      </x:c>
      <x:c r="B77" s="20" t="str">
        <x:v>PMID37256897</x:v>
      </x:c>
      <x:c r="C77" s="20" t="str">
        <x:v>ellagic acid</x:v>
      </x:c>
      <x:c r="D77" s="20" t="str">
        <x:v>Polyphenols</x:v>
      </x:c>
      <x:c r="E77" s="20" t="str">
        <x:v>Extraction, phytochemical characterization and anti-cancer mechanism of Haritaki churna: An ayurvedic formulation.</x:v>
      </x:c>
      <x:c r="F77" s="20" t="str">
        <x:v>Extract/formula/decoction contextual evidence</x:v>
      </x:c>
      <x:c r="G77" s="20" t="str">
        <x:v>No</x:v>
      </x:c>
      <x:c r="H77" s="20" t="str">
        <x:v>No</x:v>
      </x:c>
      <x:c r="I77" s="20" t="str">
        <x:v>No</x:v>
      </x:c>
      <x:c r="J77" s="20" t="str">
        <x:v>No</x:v>
      </x:c>
      <x:c r="K77" s="20" t="str">
        <x:v>No</x:v>
      </x:c>
      <x:c r="L77" s="20" t="str">
        <x:v>No</x:v>
      </x:c>
      <x:c r="M77" s="20" t="str">
        <x:v>No</x:v>
      </x:c>
      <x:c r="N77" s="20" t="str">
        <x:v>Yes</x:v>
      </x:c>
      <x:c r="O77" s="20" t="str">
        <x:v>No</x:v>
      </x:c>
      <x:c r="P77" s="20" t="str">
        <x:v>No</x:v>
      </x:c>
      <x:c r="Q77" s="20" t="str">
        <x:v>1 细胞模型：
  癌细胞：人结直肠癌细胞系 HCT116、DLD1、HT29；
  正常细胞对照：原代人外周血单个核细胞（PBMCs）、非癌性HEK293细胞
2 体外实验系统：细胞活力检测、细胞周期分析、蛋白表达检测（cyclin A2）、凋亡标志物检测
3 稳定性测试：在生物胃液中评估稳定性</x:v>
      </x:c>
      <x:c r="R77" s="20" t="str">
        <x:v>not captured in source extraction</x:v>
      </x:c>
      <x:c r="S77" s="20" t="str">
        <x:v>Apoptosis/cell cycle</x:v>
      </x:c>
      <x:c r="T77" s="20" t="str">
        <x:v>Context only; preparation effects are not assigned to an isolated monomer.</x:v>
      </x:c>
      <x:c r="U77" s="20" t="str">
        <x:v>2023</x:v>
      </x:c>
      <x:c r="V77" s="20" t="str">
        <x:v>2023/05/31</x:v>
      </x:c>
      <x:c r="W77" s="20" t="str">
        <x:v>ellagic acid</x:v>
      </x:c>
      <x:c r="X77" s="20" t="str">
        <x:v>Haritaki churna</x:v>
      </x:c>
      <x:c r="Y77" s="20" t="str">
        <x:v>Not established from supplied source field</x:v>
      </x:c>
      <x:c r="Z77" s="20" t="str">
        <x:v>Generic botanical, dietary, computational, or unspecified association</x:v>
      </x:c>
      <x:c r="AA77" s="20" t="str">
        <x:v>PMID 37256897; PMID37256897</x:v>
      </x:c>
      <x:c r="AB77" s="20" t="str">
        <x:v>Extract/formula/decoction contextual evidence</x:v>
      </x:c>
      <x:c r="AC77" s="20" t="str">
        <x:v>One unique PMID-linked reference</x:v>
      </x:c>
    </x:row>
    <x:row r="78">
      <x:c r="A78" s="20" t="str">
        <x:v>37326338</x:v>
      </x:c>
      <x:c r="B78" s="20" t="str">
        <x:v>PMID37326338</x:v>
      </x:c>
      <x:c r="C78" s="20" t="str">
        <x:v>Magnolol</x:v>
      </x:c>
      <x:c r="D78" s="20" t="str">
        <x:v>Neolignans</x:v>
      </x:c>
      <x:c r="E78" s="20" t="str">
        <x:v>Dual targeting of wild-type p53 and gut microbiota by Magnolol represses key metabolic process and kills CRC cells.</x:v>
      </x:c>
      <x:c r="F78" s="20" t="str">
        <x:v>Animal-validated isolated monomer evidence</x:v>
      </x:c>
      <x:c r="G78" s="20" t="str">
        <x:v>Yes</x:v>
      </x:c>
      <x:c r="H78" s="20" t="str">
        <x:v>Yes</x:v>
      </x:c>
      <x:c r="I78" s="20" t="str">
        <x:v>No</x:v>
      </x:c>
      <x:c r="J78" s="20" t="str">
        <x:v>No</x:v>
      </x:c>
      <x:c r="K78" s="20" t="str">
        <x:v>No</x:v>
      </x:c>
      <x:c r="L78" s="20" t="str">
        <x:v>No</x:v>
      </x:c>
      <x:c r="M78" s="20" t="str">
        <x:v>No</x:v>
      </x:c>
      <x:c r="N78" s="20" t="str">
        <x:v>No</x:v>
      </x:c>
      <x:c r="O78" s="20" t="str">
        <x:v>No</x:v>
      </x:c>
      <x:c r="P78" s="20" t="str">
        <x:v>No</x:v>
      </x:c>
      <x:c r="Q78" s="20" t="str">
        <x:v>体外模型：结直肠癌细胞系，体内：小鼠肿瘤异种移植模型</x:v>
      </x:c>
      <x:c r="R78" s="20" t="str">
        <x:v>not captured in source extraction</x:v>
      </x:c>
      <x:c r="S78" s="20" t="str">
        <x:v>Apoptosis/cell cycle; PI3K/Akt/mTOR/metabolism</x:v>
      </x:c>
      <x:c r="T78" s="20" t="str">
        <x:v>Direct isolated-monomer experiment with animal evidence verified from the local article record.</x:v>
      </x:c>
      <x:c r="U78" s="20" t="str">
        <x:v>2024</x:v>
      </x:c>
      <x:c r="V78" s="20" t="str">
        <x:v>2024/10/01</x:v>
      </x:c>
      <x:c r="W78" s="20" t="str">
        <x:v>Magnolol</x:v>
      </x:c>
      <x:c r="X78" s="20" t="str">
        <x:v>厚朴的根以及茎皮</x:v>
      </x:c>
      <x:c r="Y78" s="20" t="str">
        <x:v>Potentially traceable—named Chinese medicinal material recorded</x:v>
      </x:c>
      <x:c r="Z78" s="20" t="str">
        <x:v>Named medicinal material in source extraction; author verification required</x:v>
      </x:c>
      <x:c r="AA78" s="20" t="str">
        <x:v>PMID 37326338; PMID37326338</x:v>
      </x:c>
      <x:c r="AB78" s="20" t="str">
        <x:v>Purified isolated compound(s): Magnolol</x:v>
      </x:c>
      <x:c r="AC78" s="20" t="str">
        <x:v>One unique PMID-linked reference</x:v>
      </x:c>
    </x:row>
    <x:row r="79">
      <x:c r="A79" s="20" t="str">
        <x:v>37365571</x:v>
      </x:c>
      <x:c r="B79" s="20" t="str">
        <x:v>PMID37365571</x:v>
      </x:c>
      <x:c r="C79" s="20" t="str">
        <x:v>Kaempferol</x:v>
      </x:c>
      <x:c r="D79" s="20" t="str">
        <x:v>Flavonoids</x:v>
      </x:c>
      <x:c r="E79" s="20" t="str">
        <x:v>Therapeutic efficacy of sorafenib and plant-derived phytochemicals in human colorectal cancer cells.</x:v>
      </x:c>
      <x:c r="F79" s="20" t="str">
        <x:v>Extract/formula/decoction contextual evidence</x:v>
      </x:c>
      <x:c r="G79" s="20" t="str">
        <x:v>No</x:v>
      </x:c>
      <x:c r="H79" s="20" t="str">
        <x:v>No</x:v>
      </x:c>
      <x:c r="I79" s="20" t="str">
        <x:v>No</x:v>
      </x:c>
      <x:c r="J79" s="20" t="str">
        <x:v>No</x:v>
      </x:c>
      <x:c r="K79" s="20" t="str">
        <x:v>No</x:v>
      </x:c>
      <x:c r="L79" s="20" t="str">
        <x:v>No</x:v>
      </x:c>
      <x:c r="M79" s="20" t="str">
        <x:v>No</x:v>
      </x:c>
      <x:c r="N79" s="20" t="str">
        <x:v>Yes</x:v>
      </x:c>
      <x:c r="O79" s="20" t="str">
        <x:v>No</x:v>
      </x:c>
      <x:c r="P79" s="20" t="str">
        <x:v>No</x:v>
      </x:c>
      <x:c r="Q79" s="20" t="str">
        <x:v>人结直肠癌细胞系：SW1116、SW837
实验类型：体外细胞培养 | CRL1554 成纤维细胞，CRC 细胞</x:v>
      </x:c>
      <x:c r="R79" s="20" t="str">
        <x:v>not captured in source extraction</x:v>
      </x:c>
      <x:c r="S79" s="20" t="str">
        <x:v>Apoptosis/cell cycle</x:v>
      </x:c>
      <x:c r="T79" s="20" t="str">
        <x:v>Context only; preparation effects are not assigned to an isolated monomer.</x:v>
      </x:c>
      <x:c r="U79" s="20" t="str">
        <x:v>2023</x:v>
      </x:c>
      <x:c r="V79" s="20" t="str">
        <x:v>2023/06/26</x:v>
      </x:c>
      <x:c r="W79" s="20" t="str">
        <x:v>Kaempferol</x:v>
      </x:c>
      <x:c r="X79" s="20" t="str">
        <x:v>薏苡附子败酱散; 植物</x:v>
      </x:c>
      <x:c r="Y79" s="20" t="str">
        <x:v>Source-dependent—named Chinese medicinal material or TCM preparation recorded</x:v>
      </x:c>
      <x:c r="Z79" s="20" t="str">
        <x:v>Requires source-level constituent verification for the specific record</x:v>
      </x:c>
      <x:c r="AA79" s="20" t="str">
        <x:v>PMID 37365571; PMID37365571</x:v>
      </x:c>
      <x:c r="AB79" s="20" t="str">
        <x:v>Extract/formula/decoction contextual evidence</x:v>
      </x:c>
      <x:c r="AC79" s="20" t="str">
        <x:v>One unique PMID-linked reference</x:v>
      </x:c>
    </x:row>
    <x:row r="80">
      <x:c r="A80" s="20" t="str">
        <x:v>37373014</x:v>
      </x:c>
      <x:c r="B80" s="20" t="str">
        <x:v>PMID37373014</x:v>
      </x:c>
      <x:c r="C80" s="20" t="str">
        <x:v>beta-Lapachone</x:v>
      </x:c>
      <x:c r="D80" s="20" t="str">
        <x:v>Quinones</x:v>
      </x:c>
      <x:c r="E80" s="20" t="str">
        <x:v>beta-Lapachone Exerts Anticancer Effects by Downregulating p53, Lys-Acetylated Proteins, TrkA, p38 MAPK, SOD1, Caspase-2, CD44 and NPM in Oxaliplatin-Resistant HCT116 Colorectal Cancer Cells.</x:v>
      </x:c>
      <x:c r="F80" s="20" t="str">
        <x:v>Cell-only isolated monomer evidence</x:v>
      </x:c>
      <x:c r="G80" s="20" t="str">
        <x:v>Yes</x:v>
      </x:c>
      <x:c r="H80" s="20" t="str">
        <x:v>No</x:v>
      </x:c>
      <x:c r="I80" s="20" t="str">
        <x:v>Yes</x:v>
      </x:c>
      <x:c r="J80" s="20" t="str">
        <x:v>Yes</x:v>
      </x:c>
      <x:c r="K80" s="20" t="str">
        <x:v>No</x:v>
      </x:c>
      <x:c r="L80" s="20" t="str">
        <x:v>No</x:v>
      </x:c>
      <x:c r="M80" s="20" t="str">
        <x:v>No</x:v>
      </x:c>
      <x:c r="N80" s="20" t="str">
        <x:v>No</x:v>
      </x:c>
      <x:c r="O80" s="20" t="str">
        <x:v>No</x:v>
      </x:c>
      <x:c r="P80" s="20" t="str">
        <x:v>No</x:v>
      </x:c>
      <x:c r="Q80" s="20" t="str">
        <x:v>HCT116-OxPt-R 细胞</x:v>
      </x:c>
      <x:c r="R80" s="20" t="str">
        <x:v>not captured in source extraction</x:v>
      </x:c>
      <x:c r="S80" s="20" t="str">
        <x:v>Apoptosis/cell cycle; MAPK/JNK/ERK</x:v>
      </x:c>
      <x:c r="T80" s="20" t="str">
        <x:v>Direct mechanistic evidence requiring in vivo validation.</x:v>
      </x:c>
      <x:c r="U80" s="20" t="str">
        <x:v>2023</x:v>
      </x:c>
      <x:c r="V80" s="20" t="str">
        <x:v>2023/06/07</x:v>
      </x:c>
      <x:c r="W80" s="20" t="str">
        <x:v>beta-Lapachone</x:v>
      </x:c>
      <x:c r="X80" s="20" t="str">
        <x:v>拉帕乔树</x:v>
      </x:c>
      <x:c r="Y80" s="20" t="str">
        <x:v>No—direct Chinese materia medica association not established in supplied sources</x:v>
      </x:c>
      <x:c r="Z80" s="20" t="str">
        <x:v>Related natural-product evidence only</x:v>
      </x:c>
      <x:c r="AA80" s="20" t="str">
        <x:v>PMID 37373014; PMID37373014</x:v>
      </x:c>
      <x:c r="AB80" s="20" t="str">
        <x:v>Purified isolated compound(s): beta-Lapachone</x:v>
      </x:c>
      <x:c r="AC80" s="20" t="str">
        <x:v>One unique PMID-linked reference</x:v>
      </x:c>
    </x:row>
    <x:row r="81">
      <x:c r="A81" s="20" t="str">
        <x:v>37375613</x:v>
      </x:c>
      <x:c r="B81" s="20" t="str">
        <x:v>PMID37375613</x:v>
      </x:c>
      <x:c r="C81" s="20" t="str">
        <x:v>catechin</x:v>
      </x:c>
      <x:c r="D81" s="20" t="str">
        <x:v>Flavonoids</x:v>
      </x:c>
      <x:c r="E81" s="20" t="str">
        <x:v>Antioxidant, Anti-Inflammatory, Antimicrobial, and Anticancer Activities of Pomegranate Juice Concentrate.</x:v>
      </x:c>
      <x:c r="F81" s="20" t="str">
        <x:v>Extract/formula/decoction contextual evidence</x:v>
      </x:c>
      <x:c r="G81" s="20" t="str">
        <x:v>No</x:v>
      </x:c>
      <x:c r="H81" s="20" t="str">
        <x:v>No</x:v>
      </x:c>
      <x:c r="I81" s="20" t="str">
        <x:v>No</x:v>
      </x:c>
      <x:c r="J81" s="20" t="str">
        <x:v>No</x:v>
      </x:c>
      <x:c r="K81" s="20" t="str">
        <x:v>No</x:v>
      </x:c>
      <x:c r="L81" s="20" t="str">
        <x:v>Yes</x:v>
      </x:c>
      <x:c r="M81" s="20" t="str">
        <x:v>No</x:v>
      </x:c>
      <x:c r="N81" s="20" t="str">
        <x:v>Yes</x:v>
      </x:c>
      <x:c r="O81" s="20" t="str">
        <x:v>No</x:v>
      </x:c>
      <x:c r="P81" s="20" t="str">
        <x:v>No</x:v>
      </x:c>
      <x:c r="Q81" s="20" t="str">
        <x:v>体外生化模型：牛血清白蛋白（BSA）和DNA氧化损伤模型
酶活性抑制模型：乙酰胆碱酯酶、α-淀粉酶、酪氨酸酶
抗菌模型：人类病原菌
癌细胞模型：结直肠癌、乳腺癌、肝癌细胞系</x:v>
      </x:c>
      <x:c r="R81" s="20" t="str">
        <x:v>not captured in source extraction</x:v>
      </x:c>
      <x:c r="S81" s="20" t="str">
        <x:v>Apoptosis/cell cycle; NF-kB/STAT3/inflammation; ROS/ferroptosis</x:v>
      </x:c>
      <x:c r="T81" s="20" t="str">
        <x:v>Context only; preparation effects are not assigned to an isolated monomer.</x:v>
      </x:c>
      <x:c r="U81" s="20" t="str">
        <x:v>2023</x:v>
      </x:c>
      <x:c r="V81" s="20" t="str">
        <x:v>2023/06/11</x:v>
      </x:c>
      <x:c r="W81" s="20" t="str">
        <x:v>catechin</x:v>
      </x:c>
      <x:c r="X81" s="20" t="str">
        <x:v>石榴汁浓缩物</x:v>
      </x:c>
      <x:c r="Y81" s="20" t="str">
        <x:v>Not established from supplied source field</x:v>
      </x:c>
      <x:c r="Z81" s="20" t="str">
        <x:v>Generic botanical, dietary, computational, or unspecified association</x:v>
      </x:c>
      <x:c r="AA81" s="20" t="str">
        <x:v>PMID 37375613; PMID37375613</x:v>
      </x:c>
      <x:c r="AB81" s="20" t="str">
        <x:v>Extract/formula/decoction contextual evidence</x:v>
      </x:c>
      <x:c r="AC81" s="20" t="str">
        <x:v>One unique PMID-linked reference</x:v>
      </x:c>
    </x:row>
    <x:row r="82">
      <x:c r="A82" s="20" t="str">
        <x:v>37418807</x:v>
      </x:c>
      <x:c r="B82" s="20" t="str">
        <x:v>PMID37418807</x:v>
      </x:c>
      <x:c r="C82" s="20" t="str">
        <x:v>Pinocembrin</x:v>
      </x:c>
      <x:c r="D82" s="20" t="str">
        <x:v>Flavonoids</x:v>
      </x:c>
      <x:c r="E82" s="20" t="str">
        <x:v>Can the phenolic compounds of Manuka honey chemosensitize colon cancer stem cells? A deep insight into the effect on chemoresistance and self-renewal.</x:v>
      </x:c>
      <x:c r="F82" s="20" t="str">
        <x:v>Extract/formula/decoction contextual evidence</x:v>
      </x:c>
      <x:c r="G82" s="20" t="str">
        <x:v>No</x:v>
      </x:c>
      <x:c r="H82" s="20" t="str">
        <x:v>No</x:v>
      </x:c>
      <x:c r="I82" s="20" t="str">
        <x:v>No</x:v>
      </x:c>
      <x:c r="J82" s="20" t="str">
        <x:v>Yes</x:v>
      </x:c>
      <x:c r="K82" s="20" t="str">
        <x:v>No</x:v>
      </x:c>
      <x:c r="L82" s="20" t="str">
        <x:v>No</x:v>
      </x:c>
      <x:c r="M82" s="20" t="str">
        <x:v>No</x:v>
      </x:c>
      <x:c r="N82" s="20" t="str">
        <x:v>Yes</x:v>
      </x:c>
      <x:c r="O82" s="20" t="str">
        <x:v>No</x:v>
      </x:c>
      <x:c r="P82" s="20" t="str">
        <x:v>No</x:v>
      </x:c>
      <x:c r="Q82" s="20" t="str">
        <x:v>富含结肠癌干细胞（CSCs）的结肠类球体</x:v>
      </x:c>
      <x:c r="R82" s="20" t="str">
        <x:v>not captured in source extraction</x:v>
      </x:c>
      <x:c r="S82" s="20" t="str">
        <x:v>Wnt/beta-catenin/stemness</x:v>
      </x:c>
      <x:c r="T82" s="20" t="str">
        <x:v>Context only; preparation effects are not assigned to an isolated monomer.</x:v>
      </x:c>
      <x:c r="U82" s="20" t="str">
        <x:v>2023</x:v>
      </x:c>
      <x:c r="V82" s="20" t="str">
        <x:v>2023/11/30</x:v>
      </x:c>
      <x:c r="W82" s="20" t="str">
        <x:v>Pinocembrin</x:v>
      </x:c>
      <x:c r="X82" s="20" t="str">
        <x:v>Manuka蜂蜜</x:v>
      </x:c>
      <x:c r="Y82" s="20" t="str">
        <x:v>Not established from supplied source field</x:v>
      </x:c>
      <x:c r="Z82" s="20" t="str">
        <x:v>Generic botanical, dietary, computational, or unspecified association</x:v>
      </x:c>
      <x:c r="AA82" s="20" t="str">
        <x:v>PMID 37418807; PMID37418807</x:v>
      </x:c>
      <x:c r="AB82" s="20" t="str">
        <x:v>Extract/formula/decoction contextual evidence</x:v>
      </x:c>
      <x:c r="AC82" s="20" t="str">
        <x:v>One unique PMID-linked reference</x:v>
      </x:c>
    </x:row>
    <x:row r="83">
      <x:c r="A83" s="20" t="str">
        <x:v>37440106</x:v>
      </x:c>
      <x:c r="B83" s="20" t="str">
        <x:v>PMID37440106</x:v>
      </x:c>
      <x:c r="C83" s="20" t="str">
        <x:v>Tanshinone IIA</x:v>
      </x:c>
      <x:c r="D83" s="20" t="str">
        <x:v>Diterpenoid quinones</x:v>
      </x:c>
      <x:c r="E83" s="20" t="str">
        <x:v>Tanshinone IIA targeting cell signaling pathways: a plausible paradigm for cancer therapy.</x:v>
      </x:c>
      <x:c r="F83" s="20" t="str">
        <x:v>Review/background evidence</x:v>
      </x:c>
      <x:c r="G83" s="20" t="str">
        <x:v>No</x:v>
      </x:c>
      <x:c r="H83" s="20" t="str">
        <x:v>No</x:v>
      </x:c>
      <x:c r="I83" s="20" t="str">
        <x:v>No</x:v>
      </x:c>
      <x:c r="J83" s="20" t="str">
        <x:v>No</x:v>
      </x:c>
      <x:c r="K83" s="20" t="str">
        <x:v>No</x:v>
      </x:c>
      <x:c r="L83" s="20" t="str">
        <x:v>No</x:v>
      </x:c>
      <x:c r="M83" s="20" t="str">
        <x:v>No</x:v>
      </x:c>
      <x:c r="N83" s="20" t="str">
        <x:v>No</x:v>
      </x:c>
      <x:c r="O83" s="20" t="str">
        <x:v>No</x:v>
      </x:c>
      <x:c r="P83" s="20" t="str">
        <x:v>Yes</x:v>
      </x:c>
      <x:c r="Q83" s="20" t="str">
        <x:v>多种人类癌细胞系的体外实验， 乳腺癌、宫颈癌
、结直肠癌、胃癌、肺癌、前列腺癌</x:v>
      </x:c>
      <x:c r="R83" s="20" t="str">
        <x:v>not captured in source extraction</x:v>
      </x:c>
      <x:c r="S83" s="20" t="str">
        <x:v>Apoptosis/cell cycle; EMT/ECM/metastasis; PI3K/Akt/mTOR/metabolism</x:v>
      </x:c>
      <x:c r="T83" s="20" t="str">
        <x:v>Background synthesis only; not counted as new efficacy evidence.</x:v>
      </x:c>
      <x:c r="U83" s="20" t="str">
        <x:v>2023</x:v>
      </x:c>
      <x:c r="V83" s="20" t="str">
        <x:v>2023/08/01</x:v>
      </x:c>
      <x:c r="W83" s="20" t="str">
        <x:v>Tanshinone IIA</x:v>
      </x:c>
      <x:c r="X83" s="20" t="str">
        <x:v>传统中药丹参（Salvia miltiorrhiza）的根部</x:v>
      </x:c>
      <x:c r="Y83" s="20" t="str">
        <x:v>Yes—directly traceable in supplied records</x:v>
      </x:c>
      <x:c r="Z83" s="20" t="str">
        <x:v>Constituent of Danshen (Salvia miltiorrhiza)</x:v>
      </x:c>
      <x:c r="AA83" s="20" t="str">
        <x:v>PMID 37440106; PMID37440106</x:v>
      </x:c>
      <x:c r="AB83" s="20" t="str">
        <x:v>Review/background evidence</x:v>
      </x:c>
      <x:c r="AC83" s="20" t="str">
        <x:v>One unique PMID-linked reference</x:v>
      </x:c>
    </x:row>
    <x:row r="84">
      <x:c r="A84" s="20" t="str">
        <x:v>37441534</x:v>
      </x:c>
      <x:c r="B84" s="20" t="str">
        <x:v>PMID37441534</x:v>
      </x:c>
      <x:c r="C84" s="20" t="str">
        <x:v>silibinin</x:v>
      </x:c>
      <x:c r="D84" s="20" t="str">
        <x:v>Flavonoids</x:v>
      </x:c>
      <x:c r="E84" s="20" t="str">
        <x:v>Targeted delivery of silibinin via magnetic niosomal nanoparticles: potential application in treatment of colon cancer cells.</x:v>
      </x:c>
      <x:c r="F84" s="20" t="str">
        <x:v>Formulation/nanodelivery contextual evidence</x:v>
      </x:c>
      <x:c r="G84" s="20" t="str">
        <x:v>No</x:v>
      </x:c>
      <x:c r="H84" s="20" t="str">
        <x:v>No</x:v>
      </x:c>
      <x:c r="I84" s="20" t="str">
        <x:v>No</x:v>
      </x:c>
      <x:c r="J84" s="20" t="str">
        <x:v>No</x:v>
      </x:c>
      <x:c r="K84" s="20" t="str">
        <x:v>No</x:v>
      </x:c>
      <x:c r="L84" s="20" t="str">
        <x:v>No</x:v>
      </x:c>
      <x:c r="M84" s="20" t="str">
        <x:v>Yes</x:v>
      </x:c>
      <x:c r="N84" s="20" t="str">
        <x:v>No</x:v>
      </x:c>
      <x:c r="O84" s="20" t="str">
        <x:v>No</x:v>
      </x:c>
      <x:c r="P84" s="20" t="str">
        <x:v>No</x:v>
      </x:c>
      <x:c r="Q84" s="20" t="str">
        <x:v>癌细胞模型为 HT29 人结肠癌细胞正常细胞模型为 HEK293 人胚肾细胞实验类型为体外细胞实验检测方法包括 MTT 法流式细胞术TEM DLS FTIR 和 VSM</x:v>
      </x:c>
      <x:c r="R84" s="20" t="str">
        <x:v>not captured in source extraction</x:v>
      </x:c>
      <x:c r="S84" s="20" t="str">
        <x:v>Apoptosis/cell cycle; EMT/ECM/metastasis</x:v>
      </x:c>
      <x:c r="T84" s="20" t="str">
        <x:v>Context only; the delivery system cannot be attributed to isolated monomer activity.</x:v>
      </x:c>
      <x:c r="U84" s="20" t="str">
        <x:v>2023</x:v>
      </x:c>
      <x:c r="V84" s="20" t="str">
        <x:v>2023/06/27</x:v>
      </x:c>
      <x:c r="W84" s="20" t="str">
        <x:v>silibinin</x:v>
      </x:c>
      <x:c r="X84" s="20" t="str">
        <x:v>水飞蓟 Silybum marianum 的提取物</x:v>
      </x:c>
      <x:c r="Y84" s="20" t="str">
        <x:v>Not established from supplied source field</x:v>
      </x:c>
      <x:c r="Z84" s="20" t="str">
        <x:v>Generic botanical, dietary, computational, or unspecified association</x:v>
      </x:c>
      <x:c r="AA84" s="20" t="str">
        <x:v>PMID 37441534; PMID37441534</x:v>
      </x:c>
      <x:c r="AB84" s="20" t="str">
        <x:v>Formulation/nanodelivery contextual evidence</x:v>
      </x:c>
      <x:c r="AC84" s="20" t="str">
        <x:v>One unique PMID-linked reference</x:v>
      </x:c>
    </x:row>
    <x:row r="85">
      <x:c r="A85" s="20" t="str">
        <x:v>37497415</x:v>
      </x:c>
      <x:c r="B85" s="20" t="str">
        <x:v>PMID37497415</x:v>
      </x:c>
      <x:c r="C85" s="20" t="str">
        <x:v>Kaempferol</x:v>
      </x:c>
      <x:c r="D85" s="20" t="str">
        <x:v>Flavonoids</x:v>
      </x:c>
      <x:c r="E85" s="20" t="str">
        <x:v>Network pharmacology and bioinformatics were used to construct a prognostic model and immunoassay of core target genes in the combination of quercetin and kaempferol in the treatment of colorectal cancer.</x:v>
      </x:c>
      <x:c r="F85" s="20" t="str">
        <x:v>Network pharmacology/in silico evidence</x:v>
      </x:c>
      <x:c r="G85" s="20" t="str">
        <x:v>No</x:v>
      </x:c>
      <x:c r="H85" s="20" t="str">
        <x:v>No</x:v>
      </x:c>
      <x:c r="I85" s="20" t="str">
        <x:v>No</x:v>
      </x:c>
      <x:c r="J85" s="20" t="str">
        <x:v>No</x:v>
      </x:c>
      <x:c r="K85" s="20" t="str">
        <x:v>Yes</x:v>
      </x:c>
      <x:c r="L85" s="20" t="str">
        <x:v>No</x:v>
      </x:c>
      <x:c r="M85" s="20" t="str">
        <x:v>No</x:v>
      </x:c>
      <x:c r="N85" s="20" t="str">
        <x:v>No</x:v>
      </x:c>
      <x:c r="O85" s="20" t="str">
        <x:v>Yes</x:v>
      </x:c>
      <x:c r="P85" s="20" t="str">
        <x:v>No</x:v>
      </x:c>
      <x:c r="Q85" s="20" t="str">
        <x:v>单变量 Cox、多变量 Cox 和 Lasso-Cox 回归模型，并使用分子对接来绘制将两种成分与预后基因结合的模型</x:v>
      </x:c>
      <x:c r="R85" s="20" t="str">
        <x:v>not captured in source extraction</x:v>
      </x:c>
      <x:c r="S85" s="20" t="str">
        <x:v>Immune microenvironment</x:v>
      </x:c>
      <x:c r="T85" s="20" t="str">
        <x:v>Hypothesis generation only unless supported by a separate direct record.</x:v>
      </x:c>
      <x:c r="U85" s="20" t="str">
        <x:v>2023</x:v>
      </x:c>
      <x:c r="V85" s="20" t="str">
        <x:v>2023/07/03</x:v>
      </x:c>
      <x:c r="W85" s="20" t="str">
        <x:v>Kaempferol</x:v>
      </x:c>
      <x:c r="X85" s="20" t="str">
        <x:v>传统中药的代表性成分</x:v>
      </x:c>
      <x:c r="Y85" s="20" t="str">
        <x:v>Source-dependent—named Chinese medicinal material or TCM preparation recorded</x:v>
      </x:c>
      <x:c r="Z85" s="20" t="str">
        <x:v>Requires source-level constituent verification for the specific record</x:v>
      </x:c>
      <x:c r="AA85" s="20" t="str">
        <x:v>PMID 37497415; PMID37497415</x:v>
      </x:c>
      <x:c r="AB85" s="20" t="str">
        <x:v>Network pharmacology/in silico evidence</x:v>
      </x:c>
      <x:c r="AC85" s="20" t="str">
        <x:v>One unique PMID-linked reference</x:v>
      </x:c>
    </x:row>
    <x:row r="86">
      <x:c r="A86" s="20" t="str">
        <x:v>37595397</x:v>
      </x:c>
      <x:c r="B86" s="20" t="str">
        <x:v>PMID37595397</x:v>
      </x:c>
      <x:c r="C86" s="20" t="str">
        <x:v>Honokiol</x:v>
      </x:c>
      <x:c r="D86" s="20" t="str">
        <x:v>Neolignans</x:v>
      </x:c>
      <x:c r="E86" s="20" t="str">
        <x:v>Design, synthesis and anti-tumor efficacy evaluation of novel 1,3-diaryl propane-based polyphenols obtained from Claisen rearrangement reaction.</x:v>
      </x:c>
      <x:c r="F86" s="20" t="str">
        <x:v>Derivative/metabolite contextual evidence</x:v>
      </x:c>
      <x:c r="G86" s="20" t="str">
        <x:v>No</x:v>
      </x:c>
      <x:c r="H86" s="20" t="str">
        <x:v>No</x:v>
      </x:c>
      <x:c r="I86" s="20" t="str">
        <x:v>No</x:v>
      </x:c>
      <x:c r="J86" s="20" t="str">
        <x:v>No</x:v>
      </x:c>
      <x:c r="K86" s="20" t="str">
        <x:v>No</x:v>
      </x:c>
      <x:c r="L86" s="20" t="str">
        <x:v>No</x:v>
      </x:c>
      <x:c r="M86" s="20" t="str">
        <x:v>No</x:v>
      </x:c>
      <x:c r="N86" s="20" t="str">
        <x:v>No</x:v>
      </x:c>
      <x:c r="O86" s="20" t="str">
        <x:v>No</x:v>
      </x:c>
      <x:c r="P86" s="20" t="str">
        <x:v>No</x:v>
      </x:c>
      <x:c r="Q86" s="20" t="str">
        <x:v>体外：HCT116、COLO205、HT29、SW480（结直肠癌）等多种癌细胞系
体内：COLO205 异种移植小鼠模型</x:v>
      </x:c>
      <x:c r="R86" s="20" t="str">
        <x:v>38%; 58%</x:v>
      </x:c>
      <x:c r="S86" s="20" t="str"/>
      <x:c r="T86" s="20" t="str">
        <x:v>Context only; The tested agents were newly synthesized polyphenols inspired by natural scaffolds, not isolated honokiol.</x:v>
      </x:c>
      <x:c r="U86" s="20" t="str">
        <x:v>2023</x:v>
      </x:c>
      <x:c r="V86" s="20" t="str">
        <x:v>2023/11/01</x:v>
      </x:c>
      <x:c r="W86" s="20" t="str">
        <x:v>Honokiol</x:v>
      </x:c>
      <x:c r="X86" s="20" t="str">
        <x:v>天然产物或具有有趣生物活性的合成化合物（nature products
or synthetic compounds with interesting biological activitie）</x:v>
      </x:c>
      <x:c r="Y86" s="20" t="str">
        <x:v>Yes—directly traceable in supplied records</x:v>
      </x:c>
      <x:c r="Z86" s="20" t="str">
        <x:v>Constituent of Houpo (Magnolia officinalis)</x:v>
      </x:c>
      <x:c r="AA86" s="20" t="str">
        <x:v>PMID 37595397; PMID37595397</x:v>
      </x:c>
      <x:c r="AB86" s="20" t="str">
        <x:v>Derivative/metabolite contextual evidence</x:v>
      </x:c>
      <x:c r="AC86" s="20" t="str">
        <x:v>One unique PMID-linked reference</x:v>
      </x:c>
    </x:row>
    <x:row r="87">
      <x:c r="A87" s="20" t="str">
        <x:v>37627637</x:v>
      </x:c>
      <x:c r="B87" s="20" t="str">
        <x:v>PMID37627637</x:v>
      </x:c>
      <x:c r="C87" s="20" t="str">
        <x:v>Kaempferol</x:v>
      </x:c>
      <x:c r="D87" s="20" t="str">
        <x:v>Flavonoids</x:v>
      </x:c>
      <x:c r="E87" s="20" t="str">
        <x:v>A Critical Review of Kaempferol in Intestinal Health and Diseases.</x:v>
      </x:c>
      <x:c r="F87" s="20" t="str">
        <x:v>Review/background evidence</x:v>
      </x:c>
      <x:c r="G87" s="20" t="str">
        <x:v>No</x:v>
      </x:c>
      <x:c r="H87" s="20" t="str">
        <x:v>No</x:v>
      </x:c>
      <x:c r="I87" s="20" t="str">
        <x:v>No</x:v>
      </x:c>
      <x:c r="J87" s="20" t="str">
        <x:v>No</x:v>
      </x:c>
      <x:c r="K87" s="20" t="str">
        <x:v>No</x:v>
      </x:c>
      <x:c r="L87" s="20" t="str">
        <x:v>No</x:v>
      </x:c>
      <x:c r="M87" s="20" t="str">
        <x:v>No</x:v>
      </x:c>
      <x:c r="N87" s="20" t="str">
        <x:v>No</x:v>
      </x:c>
      <x:c r="O87" s="20" t="str">
        <x:v>No</x:v>
      </x:c>
      <x:c r="P87" s="20" t="str">
        <x:v>Yes</x:v>
      </x:c>
      <x:c r="Q87" s="20" t="str">
        <x:v>体外模型：
Caco-2 细胞（人结肠腺癌细胞，用于肠道屏障和炎症研究）
HCT116 细胞（人结肠癌细胞，含突变型 p53）</x:v>
      </x:c>
      <x:c r="R87" s="20" t="str">
        <x:v>not captured in source extraction</x:v>
      </x:c>
      <x:c r="S87" s="20" t="str">
        <x:v>Apoptosis/cell cycle; MAPK/JNK/ERK; NF-kB/STAT3/inflammation</x:v>
      </x:c>
      <x:c r="T87" s="20" t="str">
        <x:v>Background synthesis only; not counted as new efficacy evidence.</x:v>
      </x:c>
      <x:c r="U87" s="20" t="str">
        <x:v>2023</x:v>
      </x:c>
      <x:c r="V87" s="20" t="str">
        <x:v>2023/08/20</x:v>
      </x:c>
      <x:c r="W87" s="20" t="str">
        <x:v>Kaempferol</x:v>
      </x:c>
      <x:c r="X87" s="20" t="str">
        <x:v>在于各种蔬菜、水果和草药</x:v>
      </x:c>
      <x:c r="Y87" s="20" t="str">
        <x:v>Not established from this row alone</x:v>
      </x:c>
      <x:c r="Z87" s="20" t="str">
        <x:v>Dietary, generic botanical, or non-specific natural-product source</x:v>
      </x:c>
      <x:c r="AA87" s="20" t="str">
        <x:v>PMID 37627637; PMID37627637</x:v>
      </x:c>
      <x:c r="AB87" s="20" t="str">
        <x:v>Review/background evidence</x:v>
      </x:c>
      <x:c r="AC87" s="20" t="str">
        <x:v>One unique PMID-linked reference</x:v>
      </x:c>
    </x:row>
    <x:row r="88">
      <x:c r="A88" s="20" t="str">
        <x:v>37706115</x:v>
      </x:c>
      <x:c r="B88" s="20" t="str">
        <x:v>PMID37706115</x:v>
      </x:c>
      <x:c r="C88" s="20" t="str">
        <x:v>ellagic acid</x:v>
      </x:c>
      <x:c r="D88" s="20" t="str">
        <x:v>Polyphenols</x:v>
      </x:c>
      <x:c r="E88" s="20" t="str">
        <x:v>Absorption and Metabolism of Urolithin A and Ellagic Acid in Mice and Their Cytotoxicity in Human Colorectal Cancer Cells.</x:v>
      </x:c>
      <x:c r="F88" s="20" t="str">
        <x:v>Cell-only isolated monomer evidence</x:v>
      </x:c>
      <x:c r="G88" s="20" t="str">
        <x:v>Yes</x:v>
      </x:c>
      <x:c r="H88" s="20" t="str">
        <x:v>No</x:v>
      </x:c>
      <x:c r="I88" s="20" t="str">
        <x:v>Yes</x:v>
      </x:c>
      <x:c r="J88" s="20" t="str">
        <x:v>No</x:v>
      </x:c>
      <x:c r="K88" s="20" t="str">
        <x:v>No</x:v>
      </x:c>
      <x:c r="L88" s="20" t="str">
        <x:v>No</x:v>
      </x:c>
      <x:c r="M88" s="20" t="str">
        <x:v>No</x:v>
      </x:c>
      <x:c r="N88" s="20" t="str">
        <x:v>No</x:v>
      </x:c>
      <x:c r="O88" s="20" t="str">
        <x:v>No</x:v>
      </x:c>
      <x:c r="P88" s="20" t="str">
        <x:v>No</x:v>
      </x:c>
      <x:c r="Q88" s="20" t="str">
        <x:v>小鼠（体内吸收）、SW480/SW620/HCT116/HT-29细胞（体外毒性）</x:v>
      </x:c>
      <x:c r="R88" s="20" t="str">
        <x:v>not captured in source extraction</x:v>
      </x:c>
      <x:c r="S88" s="20" t="str"/>
      <x:c r="T88" s="20" t="str">
        <x:v>Direct mechanistic evidence requiring in vivo validation.</x:v>
      </x:c>
      <x:c r="U88" s="20" t="str">
        <x:v>2023</x:v>
      </x:c>
      <x:c r="V88" s="20" t="str">
        <x:v>2023/09/05</x:v>
      </x:c>
      <x:c r="W88" s="20" t="str">
        <x:v>ellagic acid</x:v>
      </x:c>
      <x:c r="X88" s="20" t="str">
        <x:v>石榴、核桃、多种浆果</x:v>
      </x:c>
      <x:c r="Y88" s="20" t="str">
        <x:v>Not established from supplied source field</x:v>
      </x:c>
      <x:c r="Z88" s="20" t="str">
        <x:v>Generic botanical, dietary, computational, or unspecified association</x:v>
      </x:c>
      <x:c r="AA88" s="20" t="str">
        <x:v>PMID 37706115; PMID37706115</x:v>
      </x:c>
      <x:c r="AB88" s="20" t="str">
        <x:v>Purified isolated compound(s): ellagic acid</x:v>
      </x:c>
      <x:c r="AC88" s="20" t="str">
        <x:v>One unique PMID-linked reference</x:v>
      </x:c>
    </x:row>
    <x:row r="89">
      <x:c r="A89" s="20" t="str">
        <x:v>37717793</x:v>
      </x:c>
      <x:c r="B89" s="20" t="str">
        <x:v>PMID37717793</x:v>
      </x:c>
      <x:c r="C89" s="20" t="str">
        <x:v>Luteolin</x:v>
      </x:c>
      <x:c r="D89" s="20" t="str">
        <x:v>Flavonoids</x:v>
      </x:c>
      <x:c r="E89" s="20" t="str">
        <x:v>Luteolin exhibits synergistic therapeutic efficacy with erastin to induce ferroptosis in colon cancer cells through the HIC1-mediated inhibition of GPX4 expression.</x:v>
      </x:c>
      <x:c r="F89" s="20" t="str">
        <x:v>Cell-only isolated monomer evidence</x:v>
      </x:c>
      <x:c r="G89" s="20" t="str">
        <x:v>Yes</x:v>
      </x:c>
      <x:c r="H89" s="20" t="str">
        <x:v>No</x:v>
      </x:c>
      <x:c r="I89" s="20" t="str">
        <x:v>Yes</x:v>
      </x:c>
      <x:c r="J89" s="20" t="str">
        <x:v>Yes</x:v>
      </x:c>
      <x:c r="K89" s="20" t="str">
        <x:v>No</x:v>
      </x:c>
      <x:c r="L89" s="20" t="str">
        <x:v>Yes</x:v>
      </x:c>
      <x:c r="M89" s="20" t="str">
        <x:v>No</x:v>
      </x:c>
      <x:c r="N89" s="20" t="str">
        <x:v>No</x:v>
      </x:c>
      <x:c r="O89" s="20" t="str">
        <x:v>No</x:v>
      </x:c>
      <x:c r="P89" s="20" t="str">
        <x:v>No</x:v>
      </x:c>
      <x:c r="Q89" s="20" t="str">
        <x:v>细胞模型：人结肠癌细胞系 HCT116 和 SW480
基因操作模型：
HIC1 过表达（pcDNA3.1-HIC1-3FLAG 转染）；
HIC1 基因沉默（HIC1-specific siRNAs）</x:v>
      </x:c>
      <x:c r="R89" s="20" t="str">
        <x:v>not captured in source extraction</x:v>
      </x:c>
      <x:c r="S89" s="20" t="str">
        <x:v>ROS/ferroptosis</x:v>
      </x:c>
      <x:c r="T89" s="20" t="str">
        <x:v>Direct mechanistic evidence requiring in vivo validation.</x:v>
      </x:c>
      <x:c r="U89" s="20" t="str">
        <x:v>2023</x:v>
      </x:c>
      <x:c r="V89" s="20" t="str">
        <x:v>2023/11/01</x:v>
      </x:c>
      <x:c r="W89" s="20" t="str">
        <x:v>Luteolin</x:v>
      </x:c>
      <x:c r="X89" s="20" t="str">
        <x:v>多种水果、蔬菜及中药</x:v>
      </x:c>
      <x:c r="Y89" s="20" t="str">
        <x:v>Source-dependent—named Chinese medicinal material or TCM preparation recorded</x:v>
      </x:c>
      <x:c r="Z89" s="20" t="str">
        <x:v>Requires source-level constituent verification for the specific record</x:v>
      </x:c>
      <x:c r="AA89" s="20" t="str">
        <x:v>PMID 37717793; PMID37717793</x:v>
      </x:c>
      <x:c r="AB89" s="20" t="str">
        <x:v>Purified isolated compound(s): Luteolin</x:v>
      </x:c>
      <x:c r="AC89" s="20" t="str">
        <x:v>One unique PMID-linked reference</x:v>
      </x:c>
    </x:row>
    <x:row r="90">
      <x:c r="A90" s="20" t="str">
        <x:v>37735401</x:v>
      </x:c>
      <x:c r="B90" s="20" t="str">
        <x:v>PMID37735401</x:v>
      </x:c>
      <x:c r="C90" s="20" t="str">
        <x:v>curdione</x:v>
      </x:c>
      <x:c r="D90" s="20" t="str">
        <x:v>Terpenoids</x:v>
      </x:c>
      <x:c r="E90" s="20" t="str">
        <x:v>Curdione induces ferroptosis mediated by m6A methylation via METTL14 and YTHDF2 in colorectal cancer.</x:v>
      </x:c>
      <x:c r="F90" s="20" t="str">
        <x:v>Animal-validated isolated monomer evidence</x:v>
      </x:c>
      <x:c r="G90" s="20" t="str">
        <x:v>Yes</x:v>
      </x:c>
      <x:c r="H90" s="20" t="str">
        <x:v>Yes</x:v>
      </x:c>
      <x:c r="I90" s="20" t="str">
        <x:v>No</x:v>
      </x:c>
      <x:c r="J90" s="20" t="str">
        <x:v>No</x:v>
      </x:c>
      <x:c r="K90" s="20" t="str">
        <x:v>No</x:v>
      </x:c>
      <x:c r="L90" s="20" t="str">
        <x:v>Yes</x:v>
      </x:c>
      <x:c r="M90" s="20" t="str">
        <x:v>No</x:v>
      </x:c>
      <x:c r="N90" s="20" t="str">
        <x:v>No</x:v>
      </x:c>
      <x:c r="O90" s="20" t="str">
        <x:v>No</x:v>
      </x:c>
      <x:c r="P90" s="20" t="str">
        <x:v>No</x:v>
      </x:c>
      <x:c r="Q90" s="20" t="str">
        <x:v>用 12.5 μM、25 μM 和 50 μM 剂量的姜屈酮处理结直肠癌（CRC）细胞，然后用甲基噻唑基四唑铵（MTT）测量细胞的活性。裸鼠皮下注射不同剂量的Curdione和尾静脉注射奥沙利铂，然后采用苏木精-伊红（HE）染色检查肿瘤组织学</x:v>
      </x:c>
      <x:c r="R90" s="20" t="str">
        <x:v>Curdione 12.5, 25, and 50 µM in CRC cells</x:v>
      </x:c>
      <x:c r="S90" s="20" t="str">
        <x:v>ROS/ferroptosis</x:v>
      </x:c>
      <x:c r="T90" s="20" t="str">
        <x:v>High-information direct preclinical evidence.</x:v>
      </x:c>
      <x:c r="U90" s="20" t="str">
        <x:v>2023</x:v>
      </x:c>
      <x:c r="V90" s="20" t="str">
        <x:v>2023/09/21</x:v>
      </x:c>
      <x:c r="W90" s="20" t="str">
        <x:v>curdione</x:v>
      </x:c>
      <x:c r="X90" s="20" t="str">
        <x:v>莪术</x:v>
      </x:c>
      <x:c r="Y90" s="20" t="str">
        <x:v>Yes—directly traceable in supplied records</x:v>
      </x:c>
      <x:c r="Z90" s="20" t="str">
        <x:v>Constituent of Ezhu (Curcumae Rhizoma)</x:v>
      </x:c>
      <x:c r="AA90" s="20" t="str">
        <x:v>PMID 37735401; PMID37735401</x:v>
      </x:c>
      <x:c r="AB90" s="20" t="str">
        <x:v>Purified isolated compound(s): curdione</x:v>
      </x:c>
      <x:c r="AC90" s="20" t="str">
        <x:v>One unique PMID-linked reference</x:v>
      </x:c>
    </x:row>
    <x:row r="91">
      <x:c r="A91" s="20" t="str">
        <x:v>37749082</x:v>
      </x:c>
      <x:c r="B91" s="20" t="str">
        <x:v>PMID37749082</x:v>
      </x:c>
      <x:c r="C91" s="20" t="str">
        <x:v>Tanshinone IIA</x:v>
      </x:c>
      <x:c r="D91" s="20" t="str">
        <x:v>Diterpenoid quinones</x:v>
      </x:c>
      <x:c r="E91" s="20" t="str">
        <x:v>Targeting survivin with Tanshinone IIA inhibits tumor growth and overcomes chemoresistance in colorectal cancer.</x:v>
      </x:c>
      <x:c r="F91" s="20" t="str">
        <x:v>Animal-validated isolated monomer evidence</x:v>
      </x:c>
      <x:c r="G91" s="20" t="str">
        <x:v>Yes</x:v>
      </x:c>
      <x:c r="H91" s="20" t="str">
        <x:v>Yes</x:v>
      </x:c>
      <x:c r="I91" s="20" t="str">
        <x:v>No</x:v>
      </x:c>
      <x:c r="J91" s="20" t="str">
        <x:v>Yes</x:v>
      </x:c>
      <x:c r="K91" s="20" t="str">
        <x:v>No</x:v>
      </x:c>
      <x:c r="L91" s="20" t="str">
        <x:v>No</x:v>
      </x:c>
      <x:c r="M91" s="20" t="str">
        <x:v>No</x:v>
      </x:c>
      <x:c r="N91" s="20" t="str">
        <x:v>No</x:v>
      </x:c>
      <x:c r="O91" s="20" t="str">
        <x:v>No</x:v>
      </x:c>
      <x:c r="P91" s="20" t="str">
        <x:v>No</x:v>
      </x:c>
      <x:c r="Q91" s="20" t="str">
        <x:v>结直肠癌细胞（含5-Fu耐药细胞）</x:v>
      </x:c>
      <x:c r="R91" s="20" t="str">
        <x:v>not captured in source extraction</x:v>
      </x:c>
      <x:c r="S91" s="20" t="str">
        <x:v>PI3K/Akt/mTOR/metabolism</x:v>
      </x:c>
      <x:c r="T91" s="20" t="str">
        <x:v>Direct isolated-monomer experiment with animal evidence verified from the local article record.</x:v>
      </x:c>
      <x:c r="U91" s="20" t="str">
        <x:v>2023</x:v>
      </x:c>
      <x:c r="V91" s="20" t="str">
        <x:v>2023/09/25</x:v>
      </x:c>
      <x:c r="W91" s="20" t="str">
        <x:v>Tanshinone IIA</x:v>
      </x:c>
      <x:c r="X91" s="20" t="str">
        <x:v>丹参</x:v>
      </x:c>
      <x:c r="Y91" s="20" t="str">
        <x:v>Yes—directly traceable in supplied records</x:v>
      </x:c>
      <x:c r="Z91" s="20" t="str">
        <x:v>Constituent of Danshen (Salvia miltiorrhiza)</x:v>
      </x:c>
      <x:c r="AA91" s="20" t="str">
        <x:v>PMID 37749082; PMID37749082</x:v>
      </x:c>
      <x:c r="AB91" s="20" t="str">
        <x:v>Purified isolated compound(s): Tanshinone IIA</x:v>
      </x:c>
      <x:c r="AC91" s="20" t="str">
        <x:v>One unique PMID-linked reference</x:v>
      </x:c>
    </x:row>
    <x:row r="92">
      <x:c r="A92" s="20" t="str">
        <x:v>37763324</x:v>
      </x:c>
      <x:c r="B92" s="20" t="str">
        <x:v>PMID37763324</x:v>
      </x:c>
      <x:c r="C92" s="20" t="str">
        <x:v>isorhamnetin</x:v>
      </x:c>
      <x:c r="D92" s="20" t="str">
        <x:v>Flavonoids</x:v>
      </x:c>
      <x:c r="E92" s="20" t="str">
        <x:v>Isorhamnetin Influences the Viability, Superoxide Production and Interleukin-8 Biosynthesis of Human Colorectal Adenocarcinoma HT-29 Cells In Vitro.</x:v>
      </x:c>
      <x:c r="F92" s="20" t="str">
        <x:v>Cell-only isolated monomer evidence</x:v>
      </x:c>
      <x:c r="G92" s="20" t="str">
        <x:v>Yes</x:v>
      </x:c>
      <x:c r="H92" s="20" t="str">
        <x:v>No</x:v>
      </x:c>
      <x:c r="I92" s="20" t="str">
        <x:v>Yes</x:v>
      </x:c>
      <x:c r="J92" s="20" t="str">
        <x:v>No</x:v>
      </x:c>
      <x:c r="K92" s="20" t="str">
        <x:v>No</x:v>
      </x:c>
      <x:c r="L92" s="20" t="str">
        <x:v>Yes</x:v>
      </x:c>
      <x:c r="M92" s="20" t="str">
        <x:v>No</x:v>
      </x:c>
      <x:c r="N92" s="20" t="str">
        <x:v>No</x:v>
      </x:c>
      <x:c r="O92" s="20" t="str">
        <x:v>No</x:v>
      </x:c>
      <x:c r="P92" s="20" t="str">
        <x:v>No</x:v>
      </x:c>
      <x:c r="Q92" s="20" t="str">
        <x:v>HT-29人结肠癌细胞，体外培养，zymosan诱导炎症</x:v>
      </x:c>
      <x:c r="R92" s="20" t="str">
        <x:v>not captured in source extraction</x:v>
      </x:c>
      <x:c r="S92" s="20" t="str">
        <x:v>NF-kB/STAT3/inflammation; ROS/ferroptosis</x:v>
      </x:c>
      <x:c r="T92" s="20" t="str">
        <x:v>Direct mechanistic evidence requiring in vivo validation.</x:v>
      </x:c>
      <x:c r="U92" s="20" t="str">
        <x:v>2023</x:v>
      </x:c>
      <x:c r="V92" s="20" t="str">
        <x:v>2023/09/15</x:v>
      </x:c>
      <x:c r="W92" s="20" t="str">
        <x:v>isorhamnetin</x:v>
      </x:c>
      <x:c r="X92" s="20" t="str">
        <x:v>许多水果和蔬菜</x:v>
      </x:c>
      <x:c r="Y92" s="20" t="str">
        <x:v>Not established from supplied source field</x:v>
      </x:c>
      <x:c r="Z92" s="20" t="str">
        <x:v>Generic botanical, dietary, computational, or unspecified association</x:v>
      </x:c>
      <x:c r="AA92" s="20" t="str">
        <x:v>PMID 37763324; PMID37763324</x:v>
      </x:c>
      <x:c r="AB92" s="20" t="str">
        <x:v>Purified isolated compound(s): isorhamnetin</x:v>
      </x:c>
      <x:c r="AC92" s="20" t="str">
        <x:v>One unique PMID-linked reference</x:v>
      </x:c>
    </x:row>
    <x:row r="93">
      <x:c r="A93" s="20" t="str">
        <x:v>37793276</x:v>
      </x:c>
      <x:c r="B93" s="20" t="str">
        <x:v>PMID37793276</x:v>
      </x:c>
      <x:c r="C93" s="20" t="str">
        <x:v>Astragaloside IV</x:v>
      </x:c>
      <x:c r="D93" s="20" t="str">
        <x:v>Triterpenoid saponins</x:v>
      </x:c>
      <x:c r="E93" s="20" t="str">
        <x:v>The potential molecular pathways of Astragaloside-IV in colorectal cancer: A systematic review.</x:v>
      </x:c>
      <x:c r="F93" s="20" t="str">
        <x:v>Review/background evidence</x:v>
      </x:c>
      <x:c r="G93" s="20" t="str">
        <x:v>No</x:v>
      </x:c>
      <x:c r="H93" s="20" t="str">
        <x:v>No</x:v>
      </x:c>
      <x:c r="I93" s="20" t="str">
        <x:v>No</x:v>
      </x:c>
      <x:c r="J93" s="20" t="str">
        <x:v>No</x:v>
      </x:c>
      <x:c r="K93" s="20" t="str">
        <x:v>Yes</x:v>
      </x:c>
      <x:c r="L93" s="20" t="str">
        <x:v>No</x:v>
      </x:c>
      <x:c r="M93" s="20" t="str">
        <x:v>No</x:v>
      </x:c>
      <x:c r="N93" s="20" t="str">
        <x:v>No</x:v>
      </x:c>
      <x:c r="O93" s="20" t="str">
        <x:v>No</x:v>
      </x:c>
      <x:c r="P93" s="20" t="str">
        <x:v>Yes</x:v>
      </x:c>
      <x:c r="Q93" s="20" t="str">
        <x:v>1 细胞模型：多种结直肠癌细胞系
2 动物模型
小鼠结直肠癌模型</x:v>
      </x:c>
      <x:c r="R93" s="20" t="str">
        <x:v>not captured in source extraction</x:v>
      </x:c>
      <x:c r="S93" s="20" t="str">
        <x:v>Apoptosis/cell cycle; Immune microenvironment; Wnt/beta-catenin/stemness</x:v>
      </x:c>
      <x:c r="T93" s="20" t="str">
        <x:v>Background synthesis only; not counted as new efficacy evidence.</x:v>
      </x:c>
      <x:c r="U93" s="20" t="str">
        <x:v>2023</x:v>
      </x:c>
      <x:c r="V93" s="20" t="str">
        <x:v>2023/11/01</x:v>
      </x:c>
      <x:c r="W93" s="20" t="str">
        <x:v>Astragaloside IV</x:v>
      </x:c>
      <x:c r="X93" s="20" t="str">
        <x:v>黄芪</x:v>
      </x:c>
      <x:c r="Y93" s="20" t="str">
        <x:v>Yes—directly traceable in supplied records</x:v>
      </x:c>
      <x:c r="Z93" s="20" t="str">
        <x:v>Constituent of Huangqi (Astragalus medicinal material)</x:v>
      </x:c>
      <x:c r="AA93" s="20" t="str">
        <x:v>PMID 37793276; PMID37793276</x:v>
      </x:c>
      <x:c r="AB93" s="20" t="str">
        <x:v>Review/background evidence</x:v>
      </x:c>
      <x:c r="AC93" s="20" t="str">
        <x:v>One unique PMID-linked reference</x:v>
      </x:c>
    </x:row>
    <x:row r="94">
      <x:c r="A94" s="20" t="str">
        <x:v>37799727</x:v>
      </x:c>
      <x:c r="B94" s="20" t="str">
        <x:v>PMID37799727</x:v>
      </x:c>
      <x:c r="C94" s="20" t="str">
        <x:v>Kaempferol</x:v>
      </x:c>
      <x:c r="D94" s="20" t="str">
        <x:v>Flavonoids</x:v>
      </x:c>
      <x:c r="E94" s="20" t="str">
        <x:v>Mechanism of Bazhen decoction in the treatment of colorectal cancer based on network pharmacology, molecular docking, and experimental validation.</x:v>
      </x:c>
      <x:c r="F94" s="20" t="str">
        <x:v>Extract/formula/decoction contextual evidence</x:v>
      </x:c>
      <x:c r="G94" s="20" t="str">
        <x:v>No</x:v>
      </x:c>
      <x:c r="H94" s="20" t="str">
        <x:v>No</x:v>
      </x:c>
      <x:c r="I94" s="20" t="str">
        <x:v>No</x:v>
      </x:c>
      <x:c r="J94" s="20" t="str">
        <x:v>No</x:v>
      </x:c>
      <x:c r="K94" s="20" t="str">
        <x:v>Yes</x:v>
      </x:c>
      <x:c r="L94" s="20" t="str">
        <x:v>No</x:v>
      </x:c>
      <x:c r="M94" s="20" t="str">
        <x:v>No</x:v>
      </x:c>
      <x:c r="N94" s="20" t="str">
        <x:v>Yes</x:v>
      </x:c>
      <x:c r="O94" s="20" t="str">
        <x:v>Yes</x:v>
      </x:c>
      <x:c r="P94" s="20" t="str">
        <x:v>No</x:v>
      </x:c>
      <x:c r="Q94" s="20" t="str">
        <x:v>结直肠癌（CRC）小鼠模型</x:v>
      </x:c>
      <x:c r="R94" s="20" t="str">
        <x:v>not captured in source extraction</x:v>
      </x:c>
      <x:c r="S94" s="20" t="str">
        <x:v>Apoptosis/cell cycle; Immune microenvironment</x:v>
      </x:c>
      <x:c r="T94" s="20" t="str">
        <x:v>Context only; preparation effects are not assigned to an isolated monomer.</x:v>
      </x:c>
      <x:c r="U94" s="20" t="str">
        <x:v>2023</x:v>
      </x:c>
      <x:c r="V94" s="20" t="str">
        <x:v>2023/09/20</x:v>
      </x:c>
      <x:c r="W94" s="20" t="str">
        <x:v>Kaempferol</x:v>
      </x:c>
      <x:c r="X94" s="20" t="str">
        <x:v>八珍汤</x:v>
      </x:c>
      <x:c r="Y94" s="20" t="str">
        <x:v>Source-dependent—named Chinese medicinal material or TCM preparation recorded</x:v>
      </x:c>
      <x:c r="Z94" s="20" t="str">
        <x:v>Requires source-level constituent verification for the specific record</x:v>
      </x:c>
      <x:c r="AA94" s="20" t="str">
        <x:v>PMID 37799727; PMID37799727</x:v>
      </x:c>
      <x:c r="AB94" s="20" t="str">
        <x:v>Extract/formula/decoction contextual evidence</x:v>
      </x:c>
      <x:c r="AC94" s="20" t="str">
        <x:v>One unique PMID-linked reference</x:v>
      </x:c>
    </x:row>
    <x:row r="95">
      <x:c r="A95" s="20" t="str">
        <x:v>37852337</x:v>
      </x:c>
      <x:c r="B95" s="20" t="str">
        <x:v>PMID37852337</x:v>
      </x:c>
      <x:c r="C95" s="20" t="str">
        <x:v>Kaempferol; Luteolin</x:v>
      </x:c>
      <x:c r="D95" s="20" t="str">
        <x:v>Flavonoids</x:v>
      </x:c>
      <x:c r="E95" s="20" t="str">
        <x:v>A network pharmacology approach and experimental validation to investigate the anticancer mechanism of Qi-Qin-Hu-Chang formula against colitis-associated colorectal cancer through induction of apoptosis via JNK/p38 MAPK signaling pathway.</x:v>
      </x:c>
      <x:c r="F95" s="20" t="str">
        <x:v>Extract/formula/decoction contextual evidence</x:v>
      </x:c>
      <x:c r="G95" s="20" t="str">
        <x:v>No</x:v>
      </x:c>
      <x:c r="H95" s="20" t="str">
        <x:v>No</x:v>
      </x:c>
      <x:c r="I95" s="20" t="str">
        <x:v>No</x:v>
      </x:c>
      <x:c r="J95" s="20" t="str">
        <x:v>No</x:v>
      </x:c>
      <x:c r="K95" s="20" t="str">
        <x:v>No</x:v>
      </x:c>
      <x:c r="L95" s="20" t="str">
        <x:v>No</x:v>
      </x:c>
      <x:c r="M95" s="20" t="str">
        <x:v>No</x:v>
      </x:c>
      <x:c r="N95" s="20" t="str">
        <x:v>Yes</x:v>
      </x:c>
      <x:c r="O95" s="20" t="str">
        <x:v>Yes</x:v>
      </x:c>
      <x:c r="P95" s="20" t="str">
        <x:v>No</x:v>
      </x:c>
      <x:c r="Q95" s="20" t="str">
        <x:v>计算机模拟（分子对接） | 网络药理学</x:v>
      </x:c>
      <x:c r="R95" s="20" t="str">
        <x:v>not captured in source extraction</x:v>
      </x:c>
      <x:c r="S95" s="20" t="str">
        <x:v>Apoptosis/cell cycle; MAPK/JNK/ERK; NF-kB/STAT3/inflammation</x:v>
      </x:c>
      <x:c r="T95" s="20" t="str">
        <x:v>Context only; preparation effects are not assigned to an isolated monomer.</x:v>
      </x:c>
      <x:c r="U95" s="20" t="str">
        <x:v>2024</x:v>
      </x:c>
      <x:c r="V95" s="20" t="str">
        <x:v>2024/01/30</x:v>
      </x:c>
      <x:c r="W95" s="20" t="str">
        <x:v>Kaempferol; Luteolin</x:v>
      </x:c>
      <x:c r="X95" s="20" t="str">
        <x:v>Qi-Qin-Hu-Chang Formula (QQHCF, Patent number CN202211655092.8),79
is derived from Qing-Chang-Hua-Shi granule, Buqi Yunpi Decoction and Xiangshen80
Pill with modifications by Professor Shen; 芪芩胡菖方</x:v>
      </x:c>
      <x:c r="Y95" s="20" t="str">
        <x:v>Source-dependent—named Chinese medicinal material or TCM preparation recorded</x:v>
      </x:c>
      <x:c r="Z95" s="20" t="str">
        <x:v>Requires source-level constituent verification for the specific record</x:v>
      </x:c>
      <x:c r="AA95" s="20" t="str">
        <x:v>PMID 37852337; PMID37852337</x:v>
      </x:c>
      <x:c r="AB95" s="20" t="str">
        <x:v>Extract/formula/decoction contextual evidence</x:v>
      </x:c>
      <x:c r="AC95" s="20" t="str">
        <x:v>One unique PMID-linked reference</x:v>
      </x:c>
    </x:row>
    <x:row r="96">
      <x:c r="A96" s="20" t="str">
        <x:v>37939611</x:v>
      </x:c>
      <x:c r="B96" s="20" t="str">
        <x:v>PMID37939611</x:v>
      </x:c>
      <x:c r="C96" s="20" t="str">
        <x:v>Isovitexin</x:v>
      </x:c>
      <x:c r="D96" s="20" t="str">
        <x:v>Flavonoids</x:v>
      </x:c>
      <x:c r="E96" s="20" t="str">
        <x:v>Herba Patriniae and its component Isovitexin show anti-colorectal cancer effects by inducing apoptosis and cell-cycle arrest via p53 activation.</x:v>
      </x:c>
      <x:c r="F96" s="20" t="str">
        <x:v>Cell-only isolated monomer evidence</x:v>
      </x:c>
      <x:c r="G96" s="20" t="str">
        <x:v>Yes</x:v>
      </x:c>
      <x:c r="H96" s="20" t="str">
        <x:v>No</x:v>
      </x:c>
      <x:c r="I96" s="20" t="str">
        <x:v>Yes</x:v>
      </x:c>
      <x:c r="J96" s="20" t="str">
        <x:v>No</x:v>
      </x:c>
      <x:c r="K96" s="20" t="str">
        <x:v>No</x:v>
      </x:c>
      <x:c r="L96" s="20" t="str">
        <x:v>No</x:v>
      </x:c>
      <x:c r="M96" s="20" t="str">
        <x:v>No</x:v>
      </x:c>
      <x:c r="N96" s="20" t="str">
        <x:v>Yes</x:v>
      </x:c>
      <x:c r="O96" s="20" t="str">
        <x:v>No</x:v>
      </x:c>
      <x:c r="P96" s="20" t="str">
        <x:v>No</x:v>
      </x:c>
      <x:c r="Q96" s="20" t="str">
        <x:v>网络药理学分析以及体外和体内实验</x:v>
      </x:c>
      <x:c r="R96" s="20" t="str">
        <x:v>not captured in source extraction</x:v>
      </x:c>
      <x:c r="S96" s="20" t="str">
        <x:v>Apoptosis/cell cycle</x:v>
      </x:c>
      <x:c r="T96" s="20" t="str">
        <x:v>Direct experimental component only; Isovitexin was separately administered to CRC cells; the Herba Patriniae intervention remains contextual.</x:v>
      </x:c>
      <x:c r="U96" s="20" t="str">
        <x:v>2023</x:v>
      </x:c>
      <x:c r="V96" s="20" t="str">
        <x:v>2023/12/01</x:v>
      </x:c>
      <x:c r="W96" s="20" t="str">
        <x:v>Isovitexin</x:v>
      </x:c>
      <x:c r="X96" s="20" t="str">
        <x:v>败酱草</x:v>
      </x:c>
      <x:c r="Y96" s="20" t="str">
        <x:v>Not established from supplied source field</x:v>
      </x:c>
      <x:c r="Z96" s="20" t="str">
        <x:v>Generic botanical, dietary, computational, or unspecified association</x:v>
      </x:c>
      <x:c r="AA96" s="20" t="str">
        <x:v>PMID 37939611; PMID37939611</x:v>
      </x:c>
      <x:c r="AB96" s="20" t="str">
        <x:v>Purified isolated compound(s): Isovitexin</x:v>
      </x:c>
      <x:c r="AC96" s="20" t="str">
        <x:v>One unique PMID-linked reference</x:v>
      </x:c>
    </x:row>
    <x:row r="97">
      <x:c r="A97" s="20" t="str">
        <x:v>37982821</x:v>
      </x:c>
      <x:c r="B97" s="20" t="str">
        <x:v>PMID37982821</x:v>
      </x:c>
      <x:c r="C97" s="20" t="str">
        <x:v>beta-sitosterol</x:v>
      </x:c>
      <x:c r="D97" s="20" t="str">
        <x:v>Phytosterols</x:v>
      </x:c>
      <x:c r="E97" s="20" t="str">
        <x:v>Ethylcoprostanol modulates colorectal cancer cell proliferation and mitigates cytotoxicity of cholesterol metabolites in non-tumor colon cells.</x:v>
      </x:c>
      <x:c r="F97" s="20" t="str">
        <x:v>Derivative/metabolite contextual evidence</x:v>
      </x:c>
      <x:c r="G97" s="20" t="str">
        <x:v>No</x:v>
      </x:c>
      <x:c r="H97" s="20" t="str">
        <x:v>No</x:v>
      </x:c>
      <x:c r="I97" s="20" t="str">
        <x:v>No</x:v>
      </x:c>
      <x:c r="J97" s="20" t="str">
        <x:v>No</x:v>
      </x:c>
      <x:c r="K97" s="20" t="str">
        <x:v>No</x:v>
      </x:c>
      <x:c r="L97" s="20" t="str">
        <x:v>Yes</x:v>
      </x:c>
      <x:c r="M97" s="20" t="str">
        <x:v>No</x:v>
      </x:c>
      <x:c r="N97" s="20" t="str">
        <x:v>No</x:v>
      </x:c>
      <x:c r="O97" s="20" t="str">
        <x:v>No</x:v>
      </x:c>
      <x:c r="P97" s="20" t="str">
        <x:v>No</x:v>
      </x:c>
      <x:c r="Q97" s="20" t="str">
        <x:v>体外细胞模型
1 Caco 2 细胞 人结肠肿瘤细胞
2 CCD 18Co 细胞 人非肿瘤结肠细胞</x:v>
      </x:c>
      <x:c r="R97" s="20" t="str">
        <x:v>not captured in source extraction</x:v>
      </x:c>
      <x:c r="S97" s="20" t="str">
        <x:v>Apoptosis/cell cycle; ROS/ferroptosis</x:v>
      </x:c>
      <x:c r="T97" s="20" t="str">
        <x:v>Context only; The tested agent was ethylcoprostanol, a beta-sitosterol metabolite, not isolated beta-sitosterol.</x:v>
      </x:c>
      <x:c r="U97" s="20" t="str">
        <x:v>2023</x:v>
      </x:c>
      <x:c r="V97" s="20" t="str">
        <x:v>2023/12/11</x:v>
      </x:c>
      <x:c r="W97" s="20" t="str">
        <x:v>beta-sitosterol</x:v>
      </x:c>
      <x:c r="X97" s="20" t="str">
        <x:v>植物</x:v>
      </x:c>
      <x:c r="Y97" s="20" t="str">
        <x:v>Not established from supplied source field</x:v>
      </x:c>
      <x:c r="Z97" s="20" t="str">
        <x:v>Generic botanical, dietary, computational, or unspecified association</x:v>
      </x:c>
      <x:c r="AA97" s="20" t="str">
        <x:v>PMID 37982821; PMID37982821</x:v>
      </x:c>
      <x:c r="AB97" s="20" t="str">
        <x:v>Derivative/metabolite contextual evidence</x:v>
      </x:c>
      <x:c r="AC97" s="20" t="str">
        <x:v>One unique PMID-linked reference</x:v>
      </x:c>
    </x:row>
    <x:row r="98">
      <x:c r="A98" s="20" t="str">
        <x:v>38041881</x:v>
      </x:c>
      <x:c r="B98" s="20" t="str">
        <x:v>PMID38041881</x:v>
      </x:c>
      <x:c r="C98" s="20" t="str">
        <x:v>Kaempferol; myricetin</x:v>
      </x:c>
      <x:c r="D98" s="20" t="str">
        <x:v>Flavonoids</x:v>
      </x:c>
      <x:c r="E98" s="20" t="str">
        <x:v>Optimization of Pluchea indica (L.) leaf extract using ultrasound-assisted extraction and its cytotoxicity on the HT-29 colorectal cancer cell line.</x:v>
      </x:c>
      <x:c r="F98" s="20" t="str">
        <x:v>Extract/formula/decoction contextual evidence</x:v>
      </x:c>
      <x:c r="G98" s="20" t="str">
        <x:v>No</x:v>
      </x:c>
      <x:c r="H98" s="20" t="str">
        <x:v>No</x:v>
      </x:c>
      <x:c r="I98" s="20" t="str">
        <x:v>No</x:v>
      </x:c>
      <x:c r="J98" s="20" t="str">
        <x:v>No</x:v>
      </x:c>
      <x:c r="K98" s="20" t="str">
        <x:v>No</x:v>
      </x:c>
      <x:c r="L98" s="20" t="str">
        <x:v>No</x:v>
      </x:c>
      <x:c r="M98" s="20" t="str">
        <x:v>No</x:v>
      </x:c>
      <x:c r="N98" s="20" t="str">
        <x:v>Yes</x:v>
      </x:c>
      <x:c r="O98" s="20" t="str">
        <x:v>No</x:v>
      </x:c>
      <x:c r="P98" s="20" t="str">
        <x:v>No</x:v>
      </x:c>
      <x:c r="Q98" s="20" t="str">
        <x:v>结直肠癌细胞（SW480 和 SW620） | HT-29 人结直肠癌细胞系（体外）</x:v>
      </x:c>
      <x:c r="R98" s="20" t="str">
        <x:v>not captured in source extraction</x:v>
      </x:c>
      <x:c r="S98" s="20" t="str">
        <x:v>Apoptosis/cell cycle</x:v>
      </x:c>
      <x:c r="T98" s="20" t="str">
        <x:v>Context only; preparation effects are not assigned to an isolated monomer.</x:v>
      </x:c>
      <x:c r="U98" s="20" t="str">
        <x:v>2023</x:v>
      </x:c>
      <x:c r="V98" s="20" t="str">
        <x:v>2023/12/01</x:v>
      </x:c>
      <x:c r="W98" s="20" t="str">
        <x:v>Kaempferol; myricetin</x:v>
      </x:c>
      <x:c r="X98" s="20" t="str">
        <x:v>Dodonaea viscosa Jacq.; 籼稻叶片</x:v>
      </x:c>
      <x:c r="Y98" s="20" t="str">
        <x:v>Not established from this row alone</x:v>
      </x:c>
      <x:c r="Z98" s="20" t="str">
        <x:v>Dietary, generic botanical, or non-specific natural-product source</x:v>
      </x:c>
      <x:c r="AA98" s="20" t="str">
        <x:v>PMID 38041881; PMID38041881</x:v>
      </x:c>
      <x:c r="AB98" s="20" t="str">
        <x:v>Extract/formula/decoction contextual evidence</x:v>
      </x:c>
      <x:c r="AC98" s="20" t="str">
        <x:v>One unique PMID-linked reference</x:v>
      </x:c>
    </x:row>
    <x:row r="99">
      <x:c r="A99" s="20" t="str">
        <x:v>38049552</x:v>
      </x:c>
      <x:c r="B99" s="20" t="str">
        <x:v>PMID38049552</x:v>
      </x:c>
      <x:c r="C99" s="20" t="str">
        <x:v>beta-sitosterol</x:v>
      </x:c>
      <x:c r="D99" s="20" t="str">
        <x:v>Phytosterols</x:v>
      </x:c>
      <x:c r="E99" s="20" t="str">
        <x:v>Countenance and implication of -sitosterol, -amyrin and epiafzelechin in nickel exposed Rat: in-silico and in-vivo approach.</x:v>
      </x:c>
      <x:c r="F99" s="20" t="str">
        <x:v>Network pharmacology/in silico evidence</x:v>
      </x:c>
      <x:c r="G99" s="20" t="str">
        <x:v>No</x:v>
      </x:c>
      <x:c r="H99" s="20" t="str">
        <x:v>No</x:v>
      </x:c>
      <x:c r="I99" s="20" t="str">
        <x:v>No</x:v>
      </x:c>
      <x:c r="J99" s="20" t="str">
        <x:v>No</x:v>
      </x:c>
      <x:c r="K99" s="20" t="str">
        <x:v>Yes</x:v>
      </x:c>
      <x:c r="L99" s="20" t="str">
        <x:v>Yes</x:v>
      </x:c>
      <x:c r="M99" s="20" t="str">
        <x:v>No</x:v>
      </x:c>
      <x:c r="N99" s="20" t="str">
        <x:v>No</x:v>
      </x:c>
      <x:c r="O99" s="20" t="str">
        <x:v>Yes</x:v>
      </x:c>
      <x:c r="P99" s="20" t="str">
        <x:v>No</x:v>
      </x:c>
      <x:c r="Q99" s="20" t="str">
        <x:v>大鼠结肠癌模型，采用体内+ 计算机模拟</x:v>
      </x:c>
      <x:c r="R99" s="20" t="str">
        <x:v>not captured in source extraction</x:v>
      </x:c>
      <x:c r="S99" s="20" t="str">
        <x:v>EMT/ECM/metastasis; Immune microenvironment; NF-kB/STAT3/inflammation; ROS/ferroptosis</x:v>
      </x:c>
      <x:c r="T99" s="20" t="str">
        <x:v>Hypothesis generation only unless supported by a separate direct record.</x:v>
      </x:c>
      <x:c r="U99" s="20" t="str">
        <x:v>2023</x:v>
      </x:c>
      <x:c r="V99" s="20" t="str">
        <x:v>2023/12/04</x:v>
      </x:c>
      <x:c r="W99" s="20" t="str">
        <x:v>beta-sitosterol</x:v>
      </x:c>
      <x:c r="X99" s="20" t="str">
        <x:v>植物</x:v>
      </x:c>
      <x:c r="Y99" s="20" t="str">
        <x:v>Not established from supplied source field</x:v>
      </x:c>
      <x:c r="Z99" s="20" t="str">
        <x:v>Generic botanical, dietary, computational, or unspecified association</x:v>
      </x:c>
      <x:c r="AA99" s="20" t="str">
        <x:v>PMID 38049552; PMID38049552</x:v>
      </x:c>
      <x:c r="AB99" s="20" t="str">
        <x:v>Network pharmacology/in silico evidence</x:v>
      </x:c>
      <x:c r="AC99" s="20" t="str">
        <x:v>One unique PMID-linked reference</x:v>
      </x:c>
    </x:row>
    <x:row r="100">
      <x:c r="A100" s="20" t="str">
        <x:v>38157250</x:v>
      </x:c>
      <x:c r="B100" s="20" t="str">
        <x:v>PMID38157250</x:v>
      </x:c>
      <x:c r="C100" s="20" t="str">
        <x:v>Apigenin; Luteolin</x:v>
      </x:c>
      <x:c r="D100" s="20" t="str">
        <x:v>Flavonoids</x:v>
      </x:c>
      <x:c r="E100" s="20" t="str">
        <x:v>Apigenin exerts anti-cancer effects in colon cancer by targeting HSP90AA1.</x:v>
      </x:c>
      <x:c r="F100" s="20" t="str">
        <x:v>Cell-only isolated monomer evidence</x:v>
      </x:c>
      <x:c r="G100" s="20" t="str">
        <x:v>Yes</x:v>
      </x:c>
      <x:c r="H100" s="20" t="str">
        <x:v>No</x:v>
      </x:c>
      <x:c r="I100" s="20" t="str">
        <x:v>Yes</x:v>
      </x:c>
      <x:c r="J100" s="20" t="str">
        <x:v>No</x:v>
      </x:c>
      <x:c r="K100" s="20" t="str">
        <x:v>No</x:v>
      </x:c>
      <x:c r="L100" s="20" t="str">
        <x:v>No</x:v>
      </x:c>
      <x:c r="M100" s="20" t="str">
        <x:v>No</x:v>
      </x:c>
      <x:c r="N100" s="20" t="str">
        <x:v>No</x:v>
      </x:c>
      <x:c r="O100" s="20" t="str">
        <x:v>No</x:v>
      </x:c>
      <x:c r="P100" s="20" t="str">
        <x:v>No</x:v>
      </x:c>
      <x:c r="Q100" s="20" t="str">
        <x:v>人结肠癌细胞系：COLO-205、HCT-116</x:v>
      </x:c>
      <x:c r="R100" s="20" t="str">
        <x:v>not captured in source extraction</x:v>
      </x:c>
      <x:c r="S100" s="20" t="str">
        <x:v>EMT/ECM/metastasis</x:v>
      </x:c>
      <x:c r="T100" s="20" t="str">
        <x:v>Direct cell evidence only; luteolin was experimentally assessed as an apigenin metabolite in the local article record.</x:v>
      </x:c>
      <x:c r="U100" s="20" t="str">
        <x:v>2025</x:v>
      </x:c>
      <x:c r="V100" s="20" t="str">
        <x:v>2025/04/01</x:v>
      </x:c>
      <x:c r="W100" s="20" t="str">
        <x:v>Apigenin; Luteolin</x:v>
      </x:c>
      <x:c r="X100" s="20" t="str">
        <x:v>芹菜素</x:v>
      </x:c>
      <x:c r="Y100" s="20" t="str">
        <x:v>Not established from this row alone</x:v>
      </x:c>
      <x:c r="Z100" s="20" t="str">
        <x:v>Dietary, generic botanical, or non-specific natural-product source</x:v>
      </x:c>
      <x:c r="AA100" s="20" t="str">
        <x:v>PMID 38157250; PMID38157250</x:v>
      </x:c>
      <x:c r="AB100" s="20" t="str">
        <x:v>Purified isolated compound(s): Apigenin; Luteolin</x:v>
      </x:c>
      <x:c r="AC100" s="20" t="str">
        <x:v>One unique PMID-linked reference</x:v>
      </x:c>
    </x:row>
    <x:row r="101">
      <x:c r="A101" s="20" t="str">
        <x:v>38218311</x:v>
      </x:c>
      <x:c r="B101" s="20" t="str">
        <x:v>PMID38218311</x:v>
      </x:c>
      <x:c r="C101" s="20" t="str">
        <x:v>beta-Lapachone</x:v>
      </x:c>
      <x:c r="D101" s="20" t="str">
        <x:v>Quinones</x:v>
      </x:c>
      <x:c r="E101" s="20" t="str">
        <x:v>beta-Lapachone induces ferroptosis of colorectal cancer cells via NCOA4-mediated ferritinophagy by activating JNK pathway.</x:v>
      </x:c>
      <x:c r="F101" s="20" t="str">
        <x:v>Animal-validated isolated monomer evidence</x:v>
      </x:c>
      <x:c r="G101" s="20" t="str">
        <x:v>Yes</x:v>
      </x:c>
      <x:c r="H101" s="20" t="str">
        <x:v>Yes</x:v>
      </x:c>
      <x:c r="I101" s="20" t="str">
        <x:v>No</x:v>
      </x:c>
      <x:c r="J101" s="20" t="str">
        <x:v>No</x:v>
      </x:c>
      <x:c r="K101" s="20" t="str">
        <x:v>No</x:v>
      </x:c>
      <x:c r="L101" s="20" t="str">
        <x:v>Yes</x:v>
      </x:c>
      <x:c r="M101" s="20" t="str">
        <x:v>No</x:v>
      </x:c>
      <x:c r="N101" s="20" t="str">
        <x:v>No</x:v>
      </x:c>
      <x:c r="O101" s="20" t="str">
        <x:v>No</x:v>
      </x:c>
      <x:c r="P101" s="20" t="str">
        <x:v>No</x:v>
      </x:c>
      <x:c r="Q101" s="20" t="str">
        <x:v>人类结直肠癌的异种移植模型作为动物模型，并在 CRC 细胞系的 SW620 和 DLD-1</x:v>
      </x:c>
      <x:c r="R101" s="20" t="str">
        <x:v>not captured in source extraction</x:v>
      </x:c>
      <x:c r="S101" s="20" t="str">
        <x:v>Apoptosis/cell cycle; MAPK/JNK/ERK; ROS/ferroptosis</x:v>
      </x:c>
      <x:c r="T101" s="20" t="str">
        <x:v>High-information direct preclinical evidence.</x:v>
      </x:c>
      <x:c r="U101" s="20" t="str">
        <x:v>2024</x:v>
      </x:c>
      <x:c r="V101" s="20" t="str">
        <x:v>2024/02/01</x:v>
      </x:c>
      <x:c r="W101" s="20" t="str">
        <x:v>beta-Lapachone</x:v>
      </x:c>
      <x:c r="X101" s="20" t="str">
        <x:v>拉帕乔树</x:v>
      </x:c>
      <x:c r="Y101" s="20" t="str">
        <x:v>No—direct Chinese materia medica association not established in supplied sources</x:v>
      </x:c>
      <x:c r="Z101" s="20" t="str">
        <x:v>Related natural-product evidence only</x:v>
      </x:c>
      <x:c r="AA101" s="20" t="str">
        <x:v>PMID 38218311; PMID38218311</x:v>
      </x:c>
      <x:c r="AB101" s="20" t="str">
        <x:v>Purified isolated compound(s): beta-Lapachone</x:v>
      </x:c>
      <x:c r="AC101" s="20" t="str">
        <x:v>One unique PMID-linked reference</x:v>
      </x:c>
    </x:row>
    <x:row r="102">
      <x:c r="A102" s="20" t="str">
        <x:v>38230773</x:v>
      </x:c>
      <x:c r="B102" s="20" t="str">
        <x:v>PMID38230773</x:v>
      </x:c>
      <x:c r="C102" s="20" t="str">
        <x:v>Astragaloside IV</x:v>
      </x:c>
      <x:c r="D102" s="20" t="str">
        <x:v>Triterpenoid saponins</x:v>
      </x:c>
      <x:c r="E102" s="20" t="str">
        <x:v>Astragaloside IV regulates circ\_0001615 and miR-873-5p/LASP1 axis to suppress colorectal cancer cell progression.</x:v>
      </x:c>
      <x:c r="F102" s="20" t="str">
        <x:v>Animal-validated isolated monomer evidence</x:v>
      </x:c>
      <x:c r="G102" s="20" t="str">
        <x:v>Yes</x:v>
      </x:c>
      <x:c r="H102" s="20" t="str">
        <x:v>Yes</x:v>
      </x:c>
      <x:c r="I102" s="20" t="str">
        <x:v>No</x:v>
      </x:c>
      <x:c r="J102" s="20" t="str">
        <x:v>No</x:v>
      </x:c>
      <x:c r="K102" s="20" t="str">
        <x:v>No</x:v>
      </x:c>
      <x:c r="L102" s="20" t="str">
        <x:v>No</x:v>
      </x:c>
      <x:c r="M102" s="20" t="str">
        <x:v>No</x:v>
      </x:c>
      <x:c r="N102" s="20" t="str">
        <x:v>No</x:v>
      </x:c>
      <x:c r="O102" s="20" t="str">
        <x:v>No</x:v>
      </x:c>
      <x:c r="P102" s="20" t="str">
        <x:v>No</x:v>
      </x:c>
      <x:c r="Q102" s="20" t="str">
        <x:v>体外模型：人结直肠癌（CRC）细胞系
体内模型：裸鼠皮下移植瘤模型</x:v>
      </x:c>
      <x:c r="R102" s="20" t="str">
        <x:v>not captured in source extraction</x:v>
      </x:c>
      <x:c r="S102" s="20" t="str">
        <x:v>Apoptosis/cell cycle</x:v>
      </x:c>
      <x:c r="T102" s="20" t="str">
        <x:v>High-information direct preclinical evidence.</x:v>
      </x:c>
      <x:c r="U102" s="20" t="str">
        <x:v>2024</x:v>
      </x:c>
      <x:c r="V102" s="20" t="str">
        <x:v>2024/01/01</x:v>
      </x:c>
      <x:c r="W102" s="20" t="str">
        <x:v>Astragaloside IV</x:v>
      </x:c>
      <x:c r="X102" s="20" t="str">
        <x:v>黄芪</x:v>
      </x:c>
      <x:c r="Y102" s="20" t="str">
        <x:v>Yes—directly traceable in supplied records</x:v>
      </x:c>
      <x:c r="Z102" s="20" t="str">
        <x:v>Constituent of Huangqi (Astragalus medicinal material)</x:v>
      </x:c>
      <x:c r="AA102" s="20" t="str">
        <x:v>PMID 38230773; PMID38230773</x:v>
      </x:c>
      <x:c r="AB102" s="20" t="str">
        <x:v>Purified isolated compound(s): Astragaloside IV</x:v>
      </x:c>
      <x:c r="AC102" s="20" t="str">
        <x:v>One unique PMID-linked reference</x:v>
      </x:c>
    </x:row>
    <x:row r="103">
      <x:c r="A103" s="20" t="str">
        <x:v>38287048</x:v>
      </x:c>
      <x:c r="B103" s="20" t="str">
        <x:v>PMID38287048</x:v>
      </x:c>
      <x:c r="C103" s="20" t="str">
        <x:v>Kaempferol</x:v>
      </x:c>
      <x:c r="D103" s="20" t="str">
        <x:v>Flavonoids</x:v>
      </x:c>
      <x:c r="E103" s="20" t="str">
        <x:v>Integrated blood and organ profile analysis to evaluate ameliorative effects of kaempferol on 5-fluorouracil-induced toxicity.</x:v>
      </x:c>
      <x:c r="F103" s="20" t="str">
        <x:v>Animal-validated isolated monomer evidence</x:v>
      </x:c>
      <x:c r="G103" s="20" t="str">
        <x:v>Yes</x:v>
      </x:c>
      <x:c r="H103" s="20" t="str">
        <x:v>Yes</x:v>
      </x:c>
      <x:c r="I103" s="20" t="str">
        <x:v>No</x:v>
      </x:c>
      <x:c r="J103" s="20" t="str">
        <x:v>Yes</x:v>
      </x:c>
      <x:c r="K103" s="20" t="str">
        <x:v>Yes</x:v>
      </x:c>
      <x:c r="L103" s="20" t="str">
        <x:v>No</x:v>
      </x:c>
      <x:c r="M103" s="20" t="str">
        <x:v>No</x:v>
      </x:c>
      <x:c r="N103" s="20" t="str">
        <x:v>No</x:v>
      </x:c>
      <x:c r="O103" s="20" t="str">
        <x:v>No</x:v>
      </x:c>
      <x:c r="P103" s="20" t="str">
        <x:v>No</x:v>
      </x:c>
      <x:c r="Q103" s="20" t="str">
        <x:v>DMH 诱导的结直肠癌（CRC）动物模型</x:v>
      </x:c>
      <x:c r="R103" s="20" t="str">
        <x:v>not captured in source extraction</x:v>
      </x:c>
      <x:c r="S103" s="20" t="str">
        <x:v>Immune microenvironment</x:v>
      </x:c>
      <x:c r="T103" s="20" t="str">
        <x:v>High-information direct preclinical evidence.</x:v>
      </x:c>
      <x:c r="U103" s="20" t="str">
        <x:v>2024</x:v>
      </x:c>
      <x:c r="V103" s="20" t="str">
        <x:v>2024/01/29</x:v>
      </x:c>
      <x:c r="W103" s="20" t="str">
        <x:v>Kaempferol</x:v>
      </x:c>
      <x:c r="X103" s="20" t="str">
        <x:v>植物或食物</x:v>
      </x:c>
      <x:c r="Y103" s="20" t="str">
        <x:v>Not established from this row alone</x:v>
      </x:c>
      <x:c r="Z103" s="20" t="str">
        <x:v>Dietary, generic botanical, or non-specific natural-product source</x:v>
      </x:c>
      <x:c r="AA103" s="20" t="str">
        <x:v>PMID 38287048; PMID38287048</x:v>
      </x:c>
      <x:c r="AB103" s="20" t="str">
        <x:v>Purified isolated compound(s): Kaempferol</x:v>
      </x:c>
      <x:c r="AC103" s="20" t="str">
        <x:v>One unique PMID-linked reference</x:v>
      </x:c>
    </x:row>
    <x:row r="104">
      <x:c r="A104" s="20" t="str">
        <x:v>38415445</x:v>
      </x:c>
      <x:c r="B104" s="20" t="str">
        <x:v>PMID38415445</x:v>
      </x:c>
      <x:c r="C104" s="20" t="str">
        <x:v>Stigmasterol; ellagic acid</x:v>
      </x:c>
      <x:c r="D104" s="20" t="str">
        <x:v>Phytosterols; Polyphenols</x:v>
      </x:c>
      <x:c r="E104" s="20" t="str">
        <x:v>Network Pharmacology Analysis on the Mechanism of Xihuangwan in Treating Rectal Cancer and Radiation Enteritis.</x:v>
      </x:c>
      <x:c r="F104" s="20" t="str">
        <x:v>Network pharmacology/in silico evidence</x:v>
      </x:c>
      <x:c r="G104" s="20" t="str">
        <x:v>No</x:v>
      </x:c>
      <x:c r="H104" s="20" t="str">
        <x:v>No</x:v>
      </x:c>
      <x:c r="I104" s="20" t="str">
        <x:v>No</x:v>
      </x:c>
      <x:c r="J104" s="20" t="str">
        <x:v>No</x:v>
      </x:c>
      <x:c r="K104" s="20" t="str">
        <x:v>No</x:v>
      </x:c>
      <x:c r="L104" s="20" t="str">
        <x:v>Yes</x:v>
      </x:c>
      <x:c r="M104" s="20" t="str">
        <x:v>No</x:v>
      </x:c>
      <x:c r="N104" s="20" t="str">
        <x:v>No</x:v>
      </x:c>
      <x:c r="O104" s="20" t="str">
        <x:v>Yes</x:v>
      </x:c>
      <x:c r="P104" s="20" t="str">
        <x:v>No</x:v>
      </x:c>
      <x:c r="Q104" s="20" t="str">
        <x:v>纯计算性网络药理学分析 | 网络药理学分析</x:v>
      </x:c>
      <x:c r="R104" s="20" t="str">
        <x:v>not captured in source extraction</x:v>
      </x:c>
      <x:c r="S104" s="20" t="str">
        <x:v>NF-kB/STAT3/inflammation; PI3K/Akt/mTOR/metabolism; ROS/ferroptosis</x:v>
      </x:c>
      <x:c r="T104" s="20" t="str">
        <x:v>Hypothesis generation only unless supported by a separate direct record.</x:v>
      </x:c>
      <x:c r="U104" s="20" t="str">
        <x:v>2024</x:v>
      </x:c>
      <x:c r="V104" s="20" t="str">
        <x:v>2024/01/01</x:v>
      </x:c>
      <x:c r="W104" s="20" t="str">
        <x:v>Stigmasterol; ellagic acid</x:v>
      </x:c>
      <x:c r="X104" s="20" t="str">
        <x:v>乳香和没药; 犀黄丸</x:v>
      </x:c>
      <x:c r="Y104" s="20" t="str">
        <x:v>Not established from supplied source field</x:v>
      </x:c>
      <x:c r="Z104" s="20" t="str">
        <x:v>Generic botanical, dietary, computational, or unspecified association</x:v>
      </x:c>
      <x:c r="AA104" s="20" t="str">
        <x:v>PMID 38415445; PMID38415445</x:v>
      </x:c>
      <x:c r="AB104" s="20" t="str">
        <x:v>Network pharmacology/in silico evidence</x:v>
      </x:c>
      <x:c r="AC104" s="20" t="str">
        <x:v>One unique PMID-linked reference</x:v>
      </x:c>
    </x:row>
    <x:row r="105">
      <x:c r="A105" s="20" t="str">
        <x:v>38428659</x:v>
      </x:c>
      <x:c r="B105" s="20" t="str">
        <x:v>PMID38428659</x:v>
      </x:c>
      <x:c r="C105" s="20" t="str">
        <x:v>Kaempferol; Luteolin; Pinocembrin</x:v>
      </x:c>
      <x:c r="D105" s="20" t="str">
        <x:v>Flavonoids</x:v>
      </x:c>
      <x:c r="E105" s="20" t="str">
        <x:v>Exploring the mechanism of Erteng-Sanjie capsule in treating gastric and colorectal cancers via network pharmacology and in-vivo validation.</x:v>
      </x:c>
      <x:c r="F105" s="20" t="str">
        <x:v>Extract/formula/decoction contextual evidence</x:v>
      </x:c>
      <x:c r="G105" s="20" t="str">
        <x:v>No</x:v>
      </x:c>
      <x:c r="H105" s="20" t="str">
        <x:v>No</x:v>
      </x:c>
      <x:c r="I105" s="20" t="str">
        <x:v>No</x:v>
      </x:c>
      <x:c r="J105" s="20" t="str">
        <x:v>No</x:v>
      </x:c>
      <x:c r="K105" s="20" t="str">
        <x:v>No</x:v>
      </x:c>
      <x:c r="L105" s="20" t="str">
        <x:v>No</x:v>
      </x:c>
      <x:c r="M105" s="20" t="str">
        <x:v>No</x:v>
      </x:c>
      <x:c r="N105" s="20" t="str">
        <x:v>Yes</x:v>
      </x:c>
      <x:c r="O105" s="20" t="str">
        <x:v>Yes</x:v>
      </x:c>
      <x:c r="P105" s="20" t="str">
        <x:v>No</x:v>
      </x:c>
      <x:c r="Q105" s="20" t="str">
        <x:v>体内模型：异种移植瘤模型 | 计算模型：网络药理学、PPI 网络、分子对接；
体内验证模型：动物实验 | 参与网络分析和分子对接预测，动物实验</x:v>
      </x:c>
      <x:c r="R105" s="20" t="str">
        <x:v>not captured in source extraction</x:v>
      </x:c>
      <x:c r="S105" s="20" t="str">
        <x:v>Apoptosis/cell cycle; EMT/ECM/metastasis; MAPK/JNK/ERK; NF-kB/STAT3/inflammation; PI3K/Akt/mTOR/metabolism</x:v>
      </x:c>
      <x:c r="T105" s="20" t="str">
        <x:v>Context only; preparation effects are not assigned to an isolated monomer.</x:v>
      </x:c>
      <x:c r="U105" s="20" t="str">
        <x:v>2024</x:v>
      </x:c>
      <x:c r="V105" s="20" t="str">
        <x:v>2024/06/12</x:v>
      </x:c>
      <x:c r="W105" s="20" t="str">
        <x:v>Kaempferol; Luteolin; Pinocembrin</x:v>
      </x:c>
      <x:c r="X105" s="20" t="str">
        <x:v>Erteng Sanjie decoction (ETSJC，二藤散结方); Erteng-Sanjie 胶囊（ETSJC）; 中药复方 二藤散结 胶囊（ETSJC）</x:v>
      </x:c>
      <x:c r="Y105" s="20" t="str">
        <x:v>Source-dependent—named Chinese medicinal material or TCM preparation recorded</x:v>
      </x:c>
      <x:c r="Z105" s="20" t="str">
        <x:v>Requires source-level constituent verification for the specific record</x:v>
      </x:c>
      <x:c r="AA105" s="20" t="str">
        <x:v>PMID 38428659; PMID38428659</x:v>
      </x:c>
      <x:c r="AB105" s="20" t="str">
        <x:v>Extract/formula/decoction contextual evidence</x:v>
      </x:c>
      <x:c r="AC105" s="20" t="str">
        <x:v>One unique PMID-linked reference</x:v>
      </x:c>
    </x:row>
    <x:row r="106">
      <x:c r="A106" s="20" t="str">
        <x:v>38446216</x:v>
      </x:c>
      <x:c r="B106" s="20" t="str">
        <x:v>PMID38446216</x:v>
      </x:c>
      <x:c r="C106" s="20" t="str">
        <x:v>beta-sitosterol</x:v>
      </x:c>
      <x:c r="D106" s="20" t="str">
        <x:v>Phytosterols</x:v>
      </x:c>
      <x:c r="E106" s="20" t="str">
        <x:v>Network pharmacology and experimental verification study on the mechanism of Hedyotis diffusa Willd in treating colorectal cancer.</x:v>
      </x:c>
      <x:c r="F106" s="20" t="str">
        <x:v>Network pharmacology/in silico evidence</x:v>
      </x:c>
      <x:c r="G106" s="20" t="str">
        <x:v>No</x:v>
      </x:c>
      <x:c r="H106" s="20" t="str">
        <x:v>No</x:v>
      </x:c>
      <x:c r="I106" s="20" t="str">
        <x:v>No</x:v>
      </x:c>
      <x:c r="J106" s="20" t="str">
        <x:v>No</x:v>
      </x:c>
      <x:c r="K106" s="20" t="str">
        <x:v>No</x:v>
      </x:c>
      <x:c r="L106" s="20" t="str">
        <x:v>No</x:v>
      </x:c>
      <x:c r="M106" s="20" t="str">
        <x:v>No</x:v>
      </x:c>
      <x:c r="N106" s="20" t="str">
        <x:v>No</x:v>
      </x:c>
      <x:c r="O106" s="20" t="str">
        <x:v>Yes</x:v>
      </x:c>
      <x:c r="P106" s="20" t="str">
        <x:v>No</x:v>
      </x:c>
      <x:c r="Q106" s="20" t="str">
        <x:v>体外细胞模型：人结直肠癌 SW620 细胞系
生物信息学模型：基于TCGA、HPA、GEPIA数据库的基因表达与生存分析
分子对接模型</x:v>
      </x:c>
      <x:c r="R106" s="20" t="str">
        <x:v>not captured in source extraction</x:v>
      </x:c>
      <x:c r="S106" s="20" t="str">
        <x:v>Apoptosis/cell cycle</x:v>
      </x:c>
      <x:c r="T106" s="20" t="str">
        <x:v>Hypothesis generation only unless supported by a separate direct record.</x:v>
      </x:c>
      <x:c r="U106" s="20" t="str">
        <x:v>2024</x:v>
      </x:c>
      <x:c r="V106" s="20" t="str">
        <x:v>2024/09/01</x:v>
      </x:c>
      <x:c r="W106" s="20" t="str">
        <x:v>beta-sitosterol</x:v>
      </x:c>
      <x:c r="X106" s="20" t="str">
        <x:v>白花蛇舌草</x:v>
      </x:c>
      <x:c r="Y106" s="20" t="str">
        <x:v>Potentially traceable—named Chinese medicinal material recorded</x:v>
      </x:c>
      <x:c r="Z106" s="20" t="str">
        <x:v>Named medicinal material in source extraction; author verification required</x:v>
      </x:c>
      <x:c r="AA106" s="20" t="str">
        <x:v>PMID 38446216; PMID38446216</x:v>
      </x:c>
      <x:c r="AB106" s="20" t="str">
        <x:v>Network pharmacology/in silico evidence</x:v>
      </x:c>
      <x:c r="AC106" s="20" t="str">
        <x:v>One unique PMID-linked reference</x:v>
      </x:c>
    </x:row>
    <x:row r="107">
      <x:c r="A107" s="20" t="str">
        <x:v>38493716</x:v>
      </x:c>
      <x:c r="B107" s="20" t="str">
        <x:v>PMID38493716</x:v>
      </x:c>
      <x:c r="C107" s="20" t="str">
        <x:v>Kaempferol</x:v>
      </x:c>
      <x:c r="D107" s="20" t="str">
        <x:v>Flavonoids</x:v>
      </x:c>
      <x:c r="E107" s="20" t="str">
        <x:v>Kaempferol inhibits colorectal cancer metastasis through circ\_0000345 mediated JMJD2C/beta-catenin signalling pathway.</x:v>
      </x:c>
      <x:c r="F107" s="20" t="str">
        <x:v>Animal-validated isolated monomer evidence</x:v>
      </x:c>
      <x:c r="G107" s="20" t="str">
        <x:v>Yes</x:v>
      </x:c>
      <x:c r="H107" s="20" t="str">
        <x:v>Yes</x:v>
      </x:c>
      <x:c r="I107" s="20" t="str">
        <x:v>No</x:v>
      </x:c>
      <x:c r="J107" s="20" t="str">
        <x:v>No</x:v>
      </x:c>
      <x:c r="K107" s="20" t="str">
        <x:v>No</x:v>
      </x:c>
      <x:c r="L107" s="20" t="str">
        <x:v>No</x:v>
      </x:c>
      <x:c r="M107" s="20" t="str">
        <x:v>No</x:v>
      </x:c>
      <x:c r="N107" s="20" t="str">
        <x:v>No</x:v>
      </x:c>
      <x:c r="O107" s="20" t="str">
        <x:v>No</x:v>
      </x:c>
      <x:c r="P107" s="20" t="str">
        <x:v>No</x:v>
      </x:c>
      <x:c r="Q107" s="20" t="str">
        <x:v>体外模型：人结直肠癌细胞系（SW620、LoVo、SW480、HCT8、HCT15、HCT116、Caco-2）及正常肠上皮细胞 HIEC；
体内模型：裸鼠尾静脉注射 SW620 细胞构建肺转移模型</x:v>
      </x:c>
      <x:c r="R107" s="20" t="str">
        <x:v>not captured in source extraction</x:v>
      </x:c>
      <x:c r="S107" s="20" t="str">
        <x:v>EMT/ECM/metastasis; Wnt/beta-catenin/stemness</x:v>
      </x:c>
      <x:c r="T107" s="20" t="str">
        <x:v>High-information direct preclinical evidence.</x:v>
      </x:c>
      <x:c r="U107" s="20" t="str">
        <x:v>2024</x:v>
      </x:c>
      <x:c r="V107" s="20" t="str">
        <x:v>2024/06/01</x:v>
      </x:c>
      <x:c r="W107" s="20" t="str">
        <x:v>Kaempferol</x:v>
      </x:c>
      <x:c r="X107" s="20" t="str">
        <x:v>植物类黄酮</x:v>
      </x:c>
      <x:c r="Y107" s="20" t="str">
        <x:v>Not established from this row alone</x:v>
      </x:c>
      <x:c r="Z107" s="20" t="str">
        <x:v>Dietary, generic botanical, or non-specific natural-product source</x:v>
      </x:c>
      <x:c r="AA107" s="20" t="str">
        <x:v>PMID 38493716; PMID38493716</x:v>
      </x:c>
      <x:c r="AB107" s="20" t="str">
        <x:v>Purified isolated compound(s): Kaempferol</x:v>
      </x:c>
      <x:c r="AC107" s="20" t="str">
        <x:v>One unique PMID-linked reference</x:v>
      </x:c>
    </x:row>
    <x:row r="108">
      <x:c r="A108" s="20" t="str">
        <x:v>38518016</x:v>
      </x:c>
      <x:c r="B108" s="20" t="str">
        <x:v>PMID38518016</x:v>
      </x:c>
      <x:c r="C108" s="20" t="str">
        <x:v>beta-sitosterol; catechin; emodin/aloe-emodin; rhein</x:v>
      </x:c>
      <x:c r="D108" s="20" t="str">
        <x:v>Anthraquinones; Flavonoids; Phytosterols</x:v>
      </x:c>
      <x:c r="E108" s="20" t="str">
        <x:v>Prediction of potential mechanisms of rhubarb therapy for colorectal cancer based on network pharmacological analysis and molecular docking.</x:v>
      </x:c>
      <x:c r="F108" s="20" t="str">
        <x:v>Network pharmacology/in silico evidence</x:v>
      </x:c>
      <x:c r="G108" s="20" t="str">
        <x:v>No</x:v>
      </x:c>
      <x:c r="H108" s="20" t="str">
        <x:v>No</x:v>
      </x:c>
      <x:c r="I108" s="20" t="str">
        <x:v>No</x:v>
      </x:c>
      <x:c r="J108" s="20" t="str">
        <x:v>No</x:v>
      </x:c>
      <x:c r="K108" s="20" t="str">
        <x:v>No</x:v>
      </x:c>
      <x:c r="L108" s="20" t="str">
        <x:v>No</x:v>
      </x:c>
      <x:c r="M108" s="20" t="str">
        <x:v>No</x:v>
      </x:c>
      <x:c r="N108" s="20" t="str">
        <x:v>No</x:v>
      </x:c>
      <x:c r="O108" s="20" t="str">
        <x:v>Yes</x:v>
      </x:c>
      <x:c r="P108" s="20" t="str">
        <x:v>No</x:v>
      </x:c>
      <x:c r="Q108" s="20" t="str">
        <x:v>生物信息学分析 | 网络药理学 + 分子对接（计算模型） | 纯计算模拟研究 采用网络药理学分析， Cytoscape构建成分靶点网络，蛋白蛋白相互作用 PPI 分析，基因本体与KEGG通路富集分析，分子对接</x:v>
      </x:c>
      <x:c r="R108" s="20" t="str">
        <x:v>not captured in source extraction</x:v>
      </x:c>
      <x:c r="S108" s="20" t="str">
        <x:v>Apoptosis/cell cycle; EMT/ECM/metastasis; NF-kB/STAT3/inflammation</x:v>
      </x:c>
      <x:c r="T108" s="20" t="str">
        <x:v>Hypothesis generation only unless supported by a separate direct record.</x:v>
      </x:c>
      <x:c r="U108" s="20" t="str">
        <x:v>2024</x:v>
      </x:c>
      <x:c r="V108" s="20" t="str">
        <x:v>2024/03/22</x:v>
      </x:c>
      <x:c r="W108" s="20" t="str">
        <x:v>beta-sitosterol; catechin; emodin/aloe-emodin; rhein</x:v>
      </x:c>
      <x:c r="X108" s="20" t="str">
        <x:v>大黄</x:v>
      </x:c>
      <x:c r="Y108" s="20" t="str">
        <x:v>Not established from supplied source field</x:v>
      </x:c>
      <x:c r="Z108" s="20" t="str">
        <x:v>Generic botanical, dietary, computational, or unspecified association</x:v>
      </x:c>
      <x:c r="AA108" s="20" t="str">
        <x:v>PMID 38518016; PMID38518016</x:v>
      </x:c>
      <x:c r="AB108" s="20" t="str">
        <x:v>Network pharmacology/in silico evidence</x:v>
      </x:c>
      <x:c r="AC108" s="20" t="str">
        <x:v>One unique PMID-linked reference</x:v>
      </x:c>
    </x:row>
    <x:row r="109">
      <x:c r="A109" s="20" t="str">
        <x:v>38524612</x:v>
      </x:c>
      <x:c r="B109" s="20" t="str">
        <x:v>PMID38524612</x:v>
      </x:c>
      <x:c r="C109" s="20" t="str">
        <x:v>Luteolin</x:v>
      </x:c>
      <x:c r="D109" s="20" t="str">
        <x:v>Flavonoids</x:v>
      </x:c>
      <x:c r="E109" s="20" t="str">
        <x:v>Synthesis, characterization, and efficacy evaluation of a PH-responsive Fe-MOF@GO composite drug delivery system for the treating colorectal cancer.</x:v>
      </x:c>
      <x:c r="F109" s="20" t="str">
        <x:v>Formulation/nanodelivery contextual evidence</x:v>
      </x:c>
      <x:c r="G109" s="20" t="str">
        <x:v>No</x:v>
      </x:c>
      <x:c r="H109" s="20" t="str">
        <x:v>No</x:v>
      </x:c>
      <x:c r="I109" s="20" t="str">
        <x:v>No</x:v>
      </x:c>
      <x:c r="J109" s="20" t="str">
        <x:v>No</x:v>
      </x:c>
      <x:c r="K109" s="20" t="str">
        <x:v>No</x:v>
      </x:c>
      <x:c r="L109" s="20" t="str">
        <x:v>Yes</x:v>
      </x:c>
      <x:c r="M109" s="20" t="str">
        <x:v>Yes</x:v>
      </x:c>
      <x:c r="N109" s="20" t="str">
        <x:v>No</x:v>
      </x:c>
      <x:c r="O109" s="20" t="str">
        <x:v>No</x:v>
      </x:c>
      <x:c r="P109" s="20" t="str">
        <x:v>No</x:v>
      </x:c>
      <x:c r="Q109" s="20" t="str">
        <x:v>正常细胞：
WI-38（人胚肺成纤维细胞）
癌细胞：
HeLa（人宫颈癌）
MCF-7（人乳腺癌）
A549（人非小细胞肺癌）
HT-29（人结肠癌）</x:v>
      </x:c>
      <x:c r="R109" s="20" t="str">
        <x:v>not captured in source extraction</x:v>
      </x:c>
      <x:c r="S109" s="20" t="str">
        <x:v>Apoptosis/cell cycle; EMT/ECM/metastasis; ROS/ferroptosis; Wnt/beta-catenin/stemness</x:v>
      </x:c>
      <x:c r="T109" s="20" t="str">
        <x:v>Context only; the delivery system cannot be attributed to isolated monomer activity.</x:v>
      </x:c>
      <x:c r="U109" s="20" t="str">
        <x:v>2024</x:v>
      </x:c>
      <x:c r="V109" s="20" t="str">
        <x:v>2024/03/15</x:v>
      </x:c>
      <x:c r="W109" s="20" t="str">
        <x:v>Luteolin</x:v>
      </x:c>
      <x:c r="X109" s="20" t="str">
        <x:v>天然植物</x:v>
      </x:c>
      <x:c r="Y109" s="20" t="str">
        <x:v>Not established from this row alone</x:v>
      </x:c>
      <x:c r="Z109" s="20" t="str">
        <x:v>Dietary, generic botanical, or non-specific natural-product source</x:v>
      </x:c>
      <x:c r="AA109" s="20" t="str">
        <x:v>PMID 38524612; PMID38524612</x:v>
      </x:c>
      <x:c r="AB109" s="20" t="str">
        <x:v>Formulation/nanodelivery contextual evidence</x:v>
      </x:c>
      <x:c r="AC109" s="20" t="str">
        <x:v>One unique PMID-linked reference</x:v>
      </x:c>
    </x:row>
    <x:row r="110">
      <x:c r="A110" s="20" t="str">
        <x:v>38543031</x:v>
      </x:c>
      <x:c r="B110" s="20" t="str">
        <x:v>PMID38543031</x:v>
      </x:c>
      <x:c r="C110" s="20" t="str">
        <x:v>beta-Lapachone</x:v>
      </x:c>
      <x:c r="D110" s="20" t="str">
        <x:v>Quinones</x:v>
      </x:c>
      <x:c r="E110" s="20" t="str">
        <x:v>Anticancer Potential and Safety Profile of beta-Lapachone In Vitro.</x:v>
      </x:c>
      <x:c r="F110" s="20" t="str">
        <x:v>Cell-only isolated monomer evidence</x:v>
      </x:c>
      <x:c r="G110" s="20" t="str">
        <x:v>Yes</x:v>
      </x:c>
      <x:c r="H110" s="20" t="str">
        <x:v>No</x:v>
      </x:c>
      <x:c r="I110" s="20" t="str">
        <x:v>Yes</x:v>
      </x:c>
      <x:c r="J110" s="20" t="str">
        <x:v>No</x:v>
      </x:c>
      <x:c r="K110" s="20" t="str">
        <x:v>No</x:v>
      </x:c>
      <x:c r="L110" s="20" t="str">
        <x:v>No</x:v>
      </x:c>
      <x:c r="M110" s="20" t="str">
        <x:v>No</x:v>
      </x:c>
      <x:c r="N110" s="20" t="str">
        <x:v>No</x:v>
      </x:c>
      <x:c r="O110" s="20" t="str">
        <x:v>No</x:v>
      </x:c>
      <x:c r="P110" s="20" t="str">
        <x:v>No</x:v>
      </x:c>
      <x:c r="Q110" s="20" t="str">
        <x:v>ACP02（胃腺癌细胞）、MCF7（乳腺癌细胞）、HCT116（结肠癌细胞）和 HEPG2（肝细胞癌细胞）</x:v>
      </x:c>
      <x:c r="R110" s="20" t="str">
        <x:v>not captured in source extraction</x:v>
      </x:c>
      <x:c r="S110" s="20" t="str">
        <x:v>Apoptosis/cell cycle</x:v>
      </x:c>
      <x:c r="T110" s="20" t="str">
        <x:v>Direct mechanistic evidence requiring in vivo validation.</x:v>
      </x:c>
      <x:c r="U110" s="20" t="str">
        <x:v>2024</x:v>
      </x:c>
      <x:c r="V110" s="20" t="str">
        <x:v>2024/03/21</x:v>
      </x:c>
      <x:c r="W110" s="20" t="str">
        <x:v>beta-Lapachone</x:v>
      </x:c>
      <x:c r="X110" s="20" t="str">
        <x:v>Ipê树（拉帕乔树）</x:v>
      </x:c>
      <x:c r="Y110" s="20" t="str">
        <x:v>No—direct Chinese materia medica association not established in supplied sources</x:v>
      </x:c>
      <x:c r="Z110" s="20" t="str">
        <x:v>Related natural-product evidence only</x:v>
      </x:c>
      <x:c r="AA110" s="20" t="str">
        <x:v>PMID 38543031; PMID38543031</x:v>
      </x:c>
      <x:c r="AB110" s="20" t="str">
        <x:v>Purified isolated compound(s): beta-Lapachone</x:v>
      </x:c>
      <x:c r="AC110" s="20" t="str">
        <x:v>One unique PMID-linked reference</x:v>
      </x:c>
    </x:row>
    <x:row r="111">
      <x:c r="A111" s="20" t="str">
        <x:v>38607060</x:v>
      </x:c>
      <x:c r="B111" s="20" t="str">
        <x:v>PMID38607060</x:v>
      </x:c>
      <x:c r="C111" s="20" t="str">
        <x:v>Secoemestrin C</x:v>
      </x:c>
      <x:c r="D111" s="20" t="str">
        <x:v>Fungal alkaloid-like metabolites</x:v>
      </x:c>
      <x:c r="E111" s="20" t="str">
        <x:v>The Natural Product Secoemestrin C Inhibits Colorectal Cancer Stem Cells via p38-S100A8 Feed-Forward Regulatory Loop.</x:v>
      </x:c>
      <x:c r="F111" s="20" t="str">
        <x:v>Cell-only isolated monomer evidence</x:v>
      </x:c>
      <x:c r="G111" s="20" t="str">
        <x:v>Yes</x:v>
      </x:c>
      <x:c r="H111" s="20" t="str">
        <x:v>No</x:v>
      </x:c>
      <x:c r="I111" s="20" t="str">
        <x:v>Yes</x:v>
      </x:c>
      <x:c r="J111" s="20" t="str">
        <x:v>No</x:v>
      </x:c>
      <x:c r="K111" s="20" t="str">
        <x:v>No</x:v>
      </x:c>
      <x:c r="L111" s="20" t="str">
        <x:v>No</x:v>
      </x:c>
      <x:c r="M111" s="20" t="str">
        <x:v>No</x:v>
      </x:c>
      <x:c r="N111" s="20" t="str">
        <x:v>No</x:v>
      </x:c>
      <x:c r="O111" s="20" t="str">
        <x:v>No</x:v>
      </x:c>
      <x:c r="P111" s="20" t="str">
        <x:v>No</x:v>
      </x:c>
      <x:c r="Q111" s="20" t="str">
        <x:v>结直肠癌干细胞（CSCs）与非干细胞（non-CSCs）</x:v>
      </x:c>
      <x:c r="R111" s="20" t="str">
        <x:v>not captured in source extraction</x:v>
      </x:c>
      <x:c r="S111" s="20" t="str">
        <x:v>EMT/ECM/metastasis; MAPK/JNK/ERK; Wnt/beta-catenin/stemness</x:v>
      </x:c>
      <x:c r="T111" s="20" t="str">
        <x:v>Direct mechanistic evidence requiring in vivo validation.</x:v>
      </x:c>
      <x:c r="U111" s="20" t="str">
        <x:v>2024</x:v>
      </x:c>
      <x:c r="V111" s="20" t="str">
        <x:v>2024/04/03</x:v>
      </x:c>
      <x:c r="W111" s="20" t="str">
        <x:v>Secoemestrin C</x:v>
      </x:c>
      <x:c r="X111" s="20" t="str">
        <x:v>埃默色拉菌（Emericella sp.）</x:v>
      </x:c>
      <x:c r="Y111" s="20" t="str">
        <x:v>Not established from supplied source field</x:v>
      </x:c>
      <x:c r="Z111" s="20" t="str">
        <x:v>Generic botanical, dietary, computational, or unspecified association</x:v>
      </x:c>
      <x:c r="AA111" s="20" t="str">
        <x:v>PMID 38607060; PMID38607060</x:v>
      </x:c>
      <x:c r="AB111" s="20" t="str">
        <x:v>Purified isolated compound(s): Secoemestrin C</x:v>
      </x:c>
      <x:c r="AC111" s="20" t="str">
        <x:v>One unique PMID-linked reference</x:v>
      </x:c>
    </x:row>
    <x:row r="112">
      <x:c r="A112" s="20" t="str">
        <x:v>38674851</x:v>
      </x:c>
      <x:c r="B112" s="20" t="str">
        <x:v>PMID38674851</x:v>
      </x:c>
      <x:c r="C112" s="20" t="str">
        <x:v>Luteolin</x:v>
      </x:c>
      <x:c r="D112" s="20" t="str">
        <x:v>Flavonoids</x:v>
      </x:c>
      <x:c r="E112" s="20" t="str">
        <x:v>Antitumor Effect and Gut Microbiota Modulation by Quercetin, Luteolin, and Xanthohumol in a Rat Model for Colorectal Cancer Prevention.</x:v>
      </x:c>
      <x:c r="F112" s="20" t="str">
        <x:v>Extract/formula/decoction contextual evidence</x:v>
      </x:c>
      <x:c r="G112" s="20" t="str">
        <x:v>No</x:v>
      </x:c>
      <x:c r="H112" s="20" t="str">
        <x:v>No</x:v>
      </x:c>
      <x:c r="I112" s="20" t="str">
        <x:v>No</x:v>
      </x:c>
      <x:c r="J112" s="20" t="str">
        <x:v>No</x:v>
      </x:c>
      <x:c r="K112" s="20" t="str">
        <x:v>No</x:v>
      </x:c>
      <x:c r="L112" s="20" t="str">
        <x:v>No</x:v>
      </x:c>
      <x:c r="M112" s="20" t="str">
        <x:v>No</x:v>
      </x:c>
      <x:c r="N112" s="20" t="str">
        <x:v>Yes</x:v>
      </x:c>
      <x:c r="O112" s="20" t="str">
        <x:v>No</x:v>
      </x:c>
      <x:c r="P112" s="20" t="str">
        <x:v>No</x:v>
      </x:c>
      <x:c r="Q112" s="20" t="str">
        <x:v>AOM+DSS诱导的大鼠结直肠癌模型，40只分4组，ip给药</x:v>
      </x:c>
      <x:c r="R112" s="20" t="str">
        <x:v>not captured in source extraction</x:v>
      </x:c>
      <x:c r="S112" s="20" t="str"/>
      <x:c r="T112" s="20" t="str">
        <x:v>Context only; preparation effects are not assigned to an isolated monomer.</x:v>
      </x:c>
      <x:c r="U112" s="20" t="str">
        <x:v>2024</x:v>
      </x:c>
      <x:c r="V112" s="20" t="str">
        <x:v>2024/04/13</x:v>
      </x:c>
      <x:c r="W112" s="20" t="str">
        <x:v>Luteolin</x:v>
      </x:c>
      <x:c r="X112" s="20" t="str">
        <x:v>蔬菜和水果</x:v>
      </x:c>
      <x:c r="Y112" s="20" t="str">
        <x:v>Not established from this row alone</x:v>
      </x:c>
      <x:c r="Z112" s="20" t="str">
        <x:v>Dietary, generic botanical, or non-specific natural-product source</x:v>
      </x:c>
      <x:c r="AA112" s="20" t="str">
        <x:v>PMID 38674851; PMID38674851</x:v>
      </x:c>
      <x:c r="AB112" s="20" t="str">
        <x:v>Extract/formula/decoction contextual evidence</x:v>
      </x:c>
      <x:c r="AC112" s="20" t="str">
        <x:v>One unique PMID-linked reference</x:v>
      </x:c>
    </x:row>
    <x:row r="113">
      <x:c r="A113" s="20" t="str">
        <x:v>38759254</x:v>
      </x:c>
      <x:c r="B113" s="20" t="str">
        <x:v>PMID38759254</x:v>
      </x:c>
      <x:c r="C113" s="20" t="str">
        <x:v>Honokiol</x:v>
      </x:c>
      <x:c r="D113" s="20" t="str">
        <x:v>Neolignans</x:v>
      </x:c>
      <x:c r="E113" s="20" t="str">
        <x:v>Semisynthesis and biological evaluation of novel honokiol thioethers against colon cancer cells HCT116 via inhibiting the transcription and expression of YAP protein.</x:v>
      </x:c>
      <x:c r="F113" s="20" t="str">
        <x:v>Derivative/metabolite contextual evidence</x:v>
      </x:c>
      <x:c r="G113" s="20" t="str">
        <x:v>No</x:v>
      </x:c>
      <x:c r="H113" s="20" t="str">
        <x:v>No</x:v>
      </x:c>
      <x:c r="I113" s="20" t="str">
        <x:v>No</x:v>
      </x:c>
      <x:c r="J113" s="20" t="str">
        <x:v>No</x:v>
      </x:c>
      <x:c r="K113" s="20" t="str">
        <x:v>No</x:v>
      </x:c>
      <x:c r="L113" s="20" t="str">
        <x:v>No</x:v>
      </x:c>
      <x:c r="M113" s="20" t="str">
        <x:v>No</x:v>
      </x:c>
      <x:c r="N113" s="20" t="str">
        <x:v>No</x:v>
      </x:c>
      <x:c r="O113" s="20" t="str">
        <x:v>No</x:v>
      </x:c>
      <x:c r="P113" s="20" t="str">
        <x:v>No</x:v>
      </x:c>
      <x:c r="Q113" s="20" t="str">
        <x:v>HCT116 结肠癌细胞</x:v>
      </x:c>
      <x:c r="R113" s="20" t="str">
        <x:v>not captured in source extraction</x:v>
      </x:c>
      <x:c r="S113" s="20" t="str"/>
      <x:c r="T113" s="20" t="str">
        <x:v>Context only; The tested agents were honokiol thioether derivatives rather than isolated honokiol.</x:v>
      </x:c>
      <x:c r="U113" s="20" t="str">
        <x:v>2024</x:v>
      </x:c>
      <x:c r="V113" s="20" t="str">
        <x:v>2024/06/01</x:v>
      </x:c>
      <x:c r="W113" s="20" t="str">
        <x:v>Honokiol</x:v>
      </x:c>
      <x:c r="X113" s="20" t="str">
        <x:v>厚朴</x:v>
      </x:c>
      <x:c r="Y113" s="20" t="str">
        <x:v>Yes—directly traceable in supplied records</x:v>
      </x:c>
      <x:c r="Z113" s="20" t="str">
        <x:v>Constituent of Houpo (Magnolia officinalis)</x:v>
      </x:c>
      <x:c r="AA113" s="20" t="str">
        <x:v>PMID 38759254; PMID38759254</x:v>
      </x:c>
      <x:c r="AB113" s="20" t="str">
        <x:v>Derivative/metabolite contextual evidence</x:v>
      </x:c>
      <x:c r="AC113" s="20" t="str">
        <x:v>One unique PMID-linked reference</x:v>
      </x:c>
    </x:row>
    <x:row r="114">
      <x:c r="A114" s="20" t="str">
        <x:v>38795259</x:v>
      </x:c>
      <x:c r="B114" s="20" t="str">
        <x:v>PMID38795259</x:v>
      </x:c>
      <x:c r="C114" s="20" t="str">
        <x:v>Kaempferol</x:v>
      </x:c>
      <x:c r="D114" s="20" t="str">
        <x:v>Flavonoids</x:v>
      </x:c>
      <x:c r="E114" s="20" t="str">
        <x:v>Unravelling the molecular mechanistic pathway underlying the anticancer effects of kaempferol in colorectal cancer: a reverse pharmacology network approach.</x:v>
      </x:c>
      <x:c r="F114" s="20" t="str">
        <x:v>Network pharmacology/in silico evidence</x:v>
      </x:c>
      <x:c r="G114" s="20" t="str">
        <x:v>No</x:v>
      </x:c>
      <x:c r="H114" s="20" t="str">
        <x:v>No</x:v>
      </x:c>
      <x:c r="I114" s="20" t="str">
        <x:v>No</x:v>
      </x:c>
      <x:c r="J114" s="20" t="str">
        <x:v>No</x:v>
      </x:c>
      <x:c r="K114" s="20" t="str">
        <x:v>No</x:v>
      </x:c>
      <x:c r="L114" s="20" t="str">
        <x:v>No</x:v>
      </x:c>
      <x:c r="M114" s="20" t="str">
        <x:v>No</x:v>
      </x:c>
      <x:c r="N114" s="20" t="str">
        <x:v>No</x:v>
      </x:c>
      <x:c r="O114" s="20" t="str">
        <x:v>Yes</x:v>
      </x:c>
      <x:c r="P114" s="20" t="str">
        <x:v>No</x:v>
      </x:c>
      <x:c r="Q114" s="20" t="str">
        <x:v>计算生物学研究，采用反向药理学网络方法，结合分子对接</x:v>
      </x:c>
      <x:c r="R114" s="20" t="str">
        <x:v>not captured in source extraction</x:v>
      </x:c>
      <x:c r="S114" s="20" t="str"/>
      <x:c r="T114" s="20" t="str">
        <x:v>Hypothesis generation only unless supported by a separate direct record.</x:v>
      </x:c>
      <x:c r="U114" s="20" t="str">
        <x:v>2025</x:v>
      </x:c>
      <x:c r="V114" s="20" t="str">
        <x:v>2025/04/01</x:v>
      </x:c>
      <x:c r="W114" s="20" t="str">
        <x:v>Kaempferol</x:v>
      </x:c>
      <x:c r="X114" s="20" t="str">
        <x:v>强效抗癌生物活性化合物</x:v>
      </x:c>
      <x:c r="Y114" s="20" t="str">
        <x:v>Not established from this row alone</x:v>
      </x:c>
      <x:c r="Z114" s="20" t="str">
        <x:v>Dietary, generic botanical, or non-specific natural-product source</x:v>
      </x:c>
      <x:c r="AA114" s="20" t="str">
        <x:v>PMID 38795259; PMID38795259</x:v>
      </x:c>
      <x:c r="AB114" s="20" t="str">
        <x:v>Network pharmacology/in silico evidence</x:v>
      </x:c>
      <x:c r="AC114" s="20" t="str">
        <x:v>One unique PMID-linked reference</x:v>
      </x:c>
    </x:row>
    <x:row r="115">
      <x:c r="A115" s="20" t="str">
        <x:v>38805906</x:v>
      </x:c>
      <x:c r="B115" s="20" t="str">
        <x:v>PMID38805906</x:v>
      </x:c>
      <x:c r="C115" s="20" t="str">
        <x:v>Glabridin</x:v>
      </x:c>
      <x:c r="D115" s="20" t="str">
        <x:v>Flavonoids</x:v>
      </x:c>
      <x:c r="E115" s="20" t="str">
        <x:v>The Glabridin from Huangqin Decoction Prevents the Development of Ulcerative Colitis into Colitis-Associated Colorectal Cancer by Modulating MMP1/MMP3 Activity.</x:v>
      </x:c>
      <x:c r="F115" s="20" t="str">
        <x:v>Extract/formula/decoction contextual evidence</x:v>
      </x:c>
      <x:c r="G115" s="20" t="str">
        <x:v>No</x:v>
      </x:c>
      <x:c r="H115" s="20" t="str">
        <x:v>No</x:v>
      </x:c>
      <x:c r="I115" s="20" t="str">
        <x:v>No</x:v>
      </x:c>
      <x:c r="J115" s="20" t="str">
        <x:v>No</x:v>
      </x:c>
      <x:c r="K115" s="20" t="str">
        <x:v>No</x:v>
      </x:c>
      <x:c r="L115" s="20" t="str">
        <x:v>No</x:v>
      </x:c>
      <x:c r="M115" s="20" t="str">
        <x:v>No</x:v>
      </x:c>
      <x:c r="N115" s="20" t="str">
        <x:v>Yes</x:v>
      </x:c>
      <x:c r="O115" s="20" t="str">
        <x:v>No</x:v>
      </x:c>
      <x:c r="P115" s="20" t="str">
        <x:v>No</x:v>
      </x:c>
      <x:c r="Q115" s="20" t="str">
        <x:v>UC/CAC小鼠模型（体内实验）</x:v>
      </x:c>
      <x:c r="R115" s="20" t="str">
        <x:v>not captured in source extraction</x:v>
      </x:c>
      <x:c r="S115" s="20" t="str">
        <x:v>EMT/ECM/metastasis; NF-kB/STAT3/inflammation</x:v>
      </x:c>
      <x:c r="T115" s="20" t="str">
        <x:v>Context only; preparation effects are not assigned to an isolated monomer.</x:v>
      </x:c>
      <x:c r="U115" s="20" t="str">
        <x:v>2024</x:v>
      </x:c>
      <x:c r="V115" s="20" t="str">
        <x:v>2024/06/30</x:v>
      </x:c>
      <x:c r="W115" s="20" t="str">
        <x:v>Glabridin</x:v>
      </x:c>
      <x:c r="X115" s="20" t="str">
        <x:v>光果甘草</x:v>
      </x:c>
      <x:c r="Y115" s="20" t="str">
        <x:v>Potentially traceable—named Chinese medicinal material recorded</x:v>
      </x:c>
      <x:c r="Z115" s="20" t="str">
        <x:v>Named medicinal material in source extraction; author verification required</x:v>
      </x:c>
      <x:c r="AA115" s="20" t="str">
        <x:v>PMID 38805906; PMID38805906</x:v>
      </x:c>
      <x:c r="AB115" s="20" t="str">
        <x:v>Extract/formula/decoction contextual evidence</x:v>
      </x:c>
      <x:c r="AC115" s="20" t="str">
        <x:v>One unique PMID-linked reference</x:v>
      </x:c>
    </x:row>
    <x:row r="116">
      <x:c r="A116" s="20" t="str">
        <x:v>38809850</x:v>
      </x:c>
      <x:c r="B116" s="20" t="str">
        <x:v>PMID38809850</x:v>
      </x:c>
      <x:c r="C116" s="20" t="str">
        <x:v>silibinin</x:v>
      </x:c>
      <x:c r="D116" s="20" t="str">
        <x:v>Flavonoids</x:v>
      </x:c>
      <x:c r="E116" s="20" t="str">
        <x:v>The anticancer impact of folate-linked ZnO-decorated bovine serum albumin/silibinin nanoparticles on human pancreatic, breast, lung, and colon cancers.</x:v>
      </x:c>
      <x:c r="F116" s="20" t="str">
        <x:v>Formulation/nanodelivery contextual evidence</x:v>
      </x:c>
      <x:c r="G116" s="20" t="str">
        <x:v>No</x:v>
      </x:c>
      <x:c r="H116" s="20" t="str">
        <x:v>No</x:v>
      </x:c>
      <x:c r="I116" s="20" t="str">
        <x:v>No</x:v>
      </x:c>
      <x:c r="J116" s="20" t="str">
        <x:v>No</x:v>
      </x:c>
      <x:c r="K116" s="20" t="str">
        <x:v>No</x:v>
      </x:c>
      <x:c r="L116" s="20" t="str">
        <x:v>Yes</x:v>
      </x:c>
      <x:c r="M116" s="20" t="str">
        <x:v>Yes</x:v>
      </x:c>
      <x:c r="N116" s="20" t="str">
        <x:v>No</x:v>
      </x:c>
      <x:c r="O116" s="20" t="str">
        <x:v>No</x:v>
      </x:c>
      <x:c r="P116" s="20" t="str">
        <x:v>No</x:v>
      </x:c>
      <x:c r="Q116" s="20" t="str">
        <x:v>体外细胞实验模型，包括人乳腺癌细胞 MCF7、人肺癌细胞 A549、人结肠癌细胞 HT29、人胰腺癌细胞 Panc，以及人脐静脉内皮细胞 Huvec</x:v>
      </x:c>
      <x:c r="R116" s="20" t="str">
        <x:v>not captured in source extraction</x:v>
      </x:c>
      <x:c r="S116" s="20" t="str">
        <x:v>Apoptosis/cell cycle; ROS/ferroptosis</x:v>
      </x:c>
      <x:c r="T116" s="20" t="str">
        <x:v>Context only; the delivery system cannot be attributed to isolated monomer activity.</x:v>
      </x:c>
      <x:c r="U116" s="20" t="str">
        <x:v>2024</x:v>
      </x:c>
      <x:c r="V116" s="20" t="str">
        <x:v>2024/08/01</x:v>
      </x:c>
      <x:c r="W116" s="20" t="str">
        <x:v>silibinin</x:v>
      </x:c>
      <x:c r="X116" s="20" t="str">
        <x:v>水飞蓟</x:v>
      </x:c>
      <x:c r="Y116" s="20" t="str">
        <x:v>Not established from supplied source field</x:v>
      </x:c>
      <x:c r="Z116" s="20" t="str">
        <x:v>Generic botanical, dietary, computational, or unspecified association</x:v>
      </x:c>
      <x:c r="AA116" s="20" t="str">
        <x:v>PMID 38809850; PMID38809850</x:v>
      </x:c>
      <x:c r="AB116" s="20" t="str">
        <x:v>Formulation/nanodelivery contextual evidence</x:v>
      </x:c>
      <x:c r="AC116" s="20" t="str">
        <x:v>One unique PMID-linked reference</x:v>
      </x:c>
    </x:row>
    <x:row r="117">
      <x:c r="A117" s="20" t="str">
        <x:v>38821580</x:v>
      </x:c>
      <x:c r="B117" s="20" t="str">
        <x:v>PMID38821580</x:v>
      </x:c>
      <x:c r="C117" s="20" t="str">
        <x:v>caffeic acid</x:v>
      </x:c>
      <x:c r="D117" s="20" t="str">
        <x:v>Phenolic acids</x:v>
      </x:c>
      <x:c r="E117" s="20" t="str">
        <x:v>Caffeic Acid Enhances Anticancer Drug-induced Apoptosis in Acid-adapted HCT116 Colon Cancer Cells.</x:v>
      </x:c>
      <x:c r="F117" s="20" t="str">
        <x:v>Cell-only isolated monomer evidence</x:v>
      </x:c>
      <x:c r="G117" s="20" t="str">
        <x:v>Yes</x:v>
      </x:c>
      <x:c r="H117" s="20" t="str">
        <x:v>No</x:v>
      </x:c>
      <x:c r="I117" s="20" t="str">
        <x:v>Yes</x:v>
      </x:c>
      <x:c r="J117" s="20" t="str">
        <x:v>Yes</x:v>
      </x:c>
      <x:c r="K117" s="20" t="str">
        <x:v>No</x:v>
      </x:c>
      <x:c r="L117" s="20" t="str">
        <x:v>No</x:v>
      </x:c>
      <x:c r="M117" s="20" t="str">
        <x:v>No</x:v>
      </x:c>
      <x:c r="N117" s="20" t="str">
        <x:v>No</x:v>
      </x:c>
      <x:c r="O117" s="20" t="str">
        <x:v>No</x:v>
      </x:c>
      <x:c r="P117" s="20" t="str">
        <x:v>No</x:v>
      </x:c>
      <x:c r="Q117" s="20" t="str">
        <x:v>人结肠癌细胞系 HCT116</x:v>
      </x:c>
      <x:c r="R117" s="20" t="str">
        <x:v>not captured in source extraction</x:v>
      </x:c>
      <x:c r="S117" s="20" t="str">
        <x:v>Apoptosis/cell cycle; MAPK/JNK/ERK; PI3K/Akt/mTOR/metabolism</x:v>
      </x:c>
      <x:c r="T117" s="20" t="str">
        <x:v>Direct mechanistic evidence requiring in vivo validation.</x:v>
      </x:c>
      <x:c r="U117" s="20" t="str">
        <x:v>2024</x:v>
      </x:c>
      <x:c r="V117" s="20" t="str">
        <x:v>2024/06/01</x:v>
      </x:c>
      <x:c r="W117" s="20" t="str">
        <x:v>caffeic acid</x:v>
      </x:c>
      <x:c r="X117" s="20" t="str">
        <x:v>茶、咖啡、蜂胶、水果和蔬菜</x:v>
      </x:c>
      <x:c r="Y117" s="20" t="str">
        <x:v>Not established from supplied source field</x:v>
      </x:c>
      <x:c r="Z117" s="20" t="str">
        <x:v>Generic botanical, dietary, computational, or unspecified association</x:v>
      </x:c>
      <x:c r="AA117" s="20" t="str">
        <x:v>PMID 38821580; PMID38821580</x:v>
      </x:c>
      <x:c r="AB117" s="20" t="str">
        <x:v>Purified isolated compound(s): caffeic acid</x:v>
      </x:c>
      <x:c r="AC117" s="20" t="str">
        <x:v>One unique PMID-linked reference</x:v>
      </x:c>
    </x:row>
    <x:row r="118">
      <x:c r="A118" s="20" t="str">
        <x:v>38823277</x:v>
      </x:c>
      <x:c r="B118" s="20" t="str">
        <x:v>PMID38823277</x:v>
      </x:c>
      <x:c r="C118" s="20" t="str">
        <x:v>Luteolin</x:v>
      </x:c>
      <x:c r="D118" s="20" t="str">
        <x:v>Flavonoids</x:v>
      </x:c>
      <x:c r="E118" s="20" t="str">
        <x:v>Decrease in GPSM2 mediated by the natural product luteolin contributes to colon adenocarcinoma treatment and increases the sensitivity to fluorouracil.</x:v>
      </x:c>
      <x:c r="F118" s="20" t="str">
        <x:v>Cell-only isolated monomer evidence</x:v>
      </x:c>
      <x:c r="G118" s="20" t="str">
        <x:v>Yes</x:v>
      </x:c>
      <x:c r="H118" s="20" t="str">
        <x:v>No</x:v>
      </x:c>
      <x:c r="I118" s="20" t="str">
        <x:v>Yes</x:v>
      </x:c>
      <x:c r="J118" s="20" t="str">
        <x:v>Yes</x:v>
      </x:c>
      <x:c r="K118" s="20" t="str">
        <x:v>No</x:v>
      </x:c>
      <x:c r="L118" s="20" t="str">
        <x:v>No</x:v>
      </x:c>
      <x:c r="M118" s="20" t="str">
        <x:v>No</x:v>
      </x:c>
      <x:c r="N118" s="20" t="str">
        <x:v>No</x:v>
      </x:c>
      <x:c r="O118" s="20" t="str">
        <x:v>No</x:v>
      </x:c>
      <x:c r="P118" s="20" t="str">
        <x:v>No</x:v>
      </x:c>
      <x:c r="Q118" s="20" t="str">
        <x:v>人结直肠癌细胞系、基因干扰模型：siGPSM2 细胞、 GPSM2 过表达模型、MTT 实验、集落形成实验</x:v>
      </x:c>
      <x:c r="R118" s="20" t="str">
        <x:v>not captured in source extraction</x:v>
      </x:c>
      <x:c r="S118" s="20" t="str"/>
      <x:c r="T118" s="20" t="str">
        <x:v>Direct mechanistic evidence requiring in vivo validation.</x:v>
      </x:c>
      <x:c r="U118" s="20" t="str">
        <x:v>2024</x:v>
      </x:c>
      <x:c r="V118" s="20" t="str">
        <x:v>2024/07/01</x:v>
      </x:c>
      <x:c r="W118" s="20" t="str">
        <x:v>Luteolin</x:v>
      </x:c>
      <x:c r="X118" s="20" t="str">
        <x:v>爪哇布鲁塞 （BJ） 植物</x:v>
      </x:c>
      <x:c r="Y118" s="20" t="str">
        <x:v>Not established from this row alone</x:v>
      </x:c>
      <x:c r="Z118" s="20" t="str">
        <x:v>Dietary, generic botanical, or non-specific natural-product source</x:v>
      </x:c>
      <x:c r="AA118" s="20" t="str">
        <x:v>PMID 38823277; PMID38823277</x:v>
      </x:c>
      <x:c r="AB118" s="20" t="str">
        <x:v>Purified isolated compound(s): Luteolin</x:v>
      </x:c>
      <x:c r="AC118" s="20" t="str">
        <x:v>One unique PMID-linked reference</x:v>
      </x:c>
    </x:row>
    <x:row r="119">
      <x:c r="A119" s="20" t="str">
        <x:v>38831823</x:v>
      </x:c>
      <x:c r="B119" s="20" t="str">
        <x:v>PMID38831823</x:v>
      </x:c>
      <x:c r="C119" s="20" t="str">
        <x:v>Astragaloside IV</x:v>
      </x:c>
      <x:c r="D119" s="20" t="str">
        <x:v>Triterpenoid saponins</x:v>
      </x:c>
      <x:c r="E119" s="20" t="str">
        <x:v>Astragaloside IV inhibits colorectal cancer metastasis by reducing extracellular vesicles release and suppressing M2-type TAMs activation.</x:v>
      </x:c>
      <x:c r="F119" s="20" t="str">
        <x:v>Animal-validated isolated monomer evidence</x:v>
      </x:c>
      <x:c r="G119" s="20" t="str">
        <x:v>Yes</x:v>
      </x:c>
      <x:c r="H119" s="20" t="str">
        <x:v>Yes</x:v>
      </x:c>
      <x:c r="I119" s="20" t="str">
        <x:v>No</x:v>
      </x:c>
      <x:c r="J119" s="20" t="str">
        <x:v>No</x:v>
      </x:c>
      <x:c r="K119" s="20" t="str">
        <x:v>Yes</x:v>
      </x:c>
      <x:c r="L119" s="20" t="str">
        <x:v>No</x:v>
      </x:c>
      <x:c r="M119" s="20" t="str">
        <x:v>No</x:v>
      </x:c>
      <x:c r="N119" s="20" t="str">
        <x:v>No</x:v>
      </x:c>
      <x:c r="O119" s="20" t="str">
        <x:v>No</x:v>
      </x:c>
      <x:c r="P119" s="20" t="str">
        <x:v>No</x:v>
      </x:c>
      <x:c r="Q119" s="20" t="str">
        <x:v>体外模型包括小鼠结肠癌细胞 MC38 和小鼠巨噬细胞 RAW264.7
体内模型为小鼠脾脏-肝脏转移模型</x:v>
      </x:c>
      <x:c r="R119" s="20" t="str">
        <x:v>not captured in source extraction</x:v>
      </x:c>
      <x:c r="S119" s="20" t="str">
        <x:v>EMT/ECM/metastasis; Immune microenvironment</x:v>
      </x:c>
      <x:c r="T119" s="20" t="str">
        <x:v>High-information direct preclinical evidence.</x:v>
      </x:c>
      <x:c r="U119" s="20" t="str">
        <x:v>2024</x:v>
      </x:c>
      <x:c r="V119" s="20" t="str">
        <x:v>2024/05/22</x:v>
      </x:c>
      <x:c r="W119" s="20" t="str">
        <x:v>Astragaloside IV</x:v>
      </x:c>
      <x:c r="X119" s="20" t="str">
        <x:v>黄芪</x:v>
      </x:c>
      <x:c r="Y119" s="20" t="str">
        <x:v>Yes—directly traceable in supplied records</x:v>
      </x:c>
      <x:c r="Z119" s="20" t="str">
        <x:v>Constituent of Huangqi (Astragalus medicinal material)</x:v>
      </x:c>
      <x:c r="AA119" s="20" t="str">
        <x:v>PMID 38831823; PMID38831823</x:v>
      </x:c>
      <x:c r="AB119" s="20" t="str">
        <x:v>Purified isolated compound(s): Astragaloside IV</x:v>
      </x:c>
      <x:c r="AC119" s="20" t="str">
        <x:v>One unique PMID-linked reference</x:v>
      </x:c>
    </x:row>
    <x:row r="120">
      <x:c r="A120" s="20" t="str">
        <x:v>38851368</x:v>
      </x:c>
      <x:c r="B120" s="20" t="str">
        <x:v>PMID38851368</x:v>
      </x:c>
      <x:c r="C120" s="20" t="str">
        <x:v>Dictamnine</x:v>
      </x:c>
      <x:c r="D120" s="20" t="str">
        <x:v>Alkaloids</x:v>
      </x:c>
      <x:c r="E120" s="20" t="str">
        <x:v>Antitumor activity of dictamnine against colorectal cancer through induction of ferroptosis and inhibition of M2 macrophage polarization via the MAPK signaling.</x:v>
      </x:c>
      <x:c r="F120" s="20" t="str">
        <x:v>Cell-only isolated monomer evidence</x:v>
      </x:c>
      <x:c r="G120" s="20" t="str">
        <x:v>Yes</x:v>
      </x:c>
      <x:c r="H120" s="20" t="str">
        <x:v>No</x:v>
      </x:c>
      <x:c r="I120" s="20" t="str">
        <x:v>Yes</x:v>
      </x:c>
      <x:c r="J120" s="20" t="str">
        <x:v>No</x:v>
      </x:c>
      <x:c r="K120" s="20" t="str">
        <x:v>Yes</x:v>
      </x:c>
      <x:c r="L120" s="20" t="str">
        <x:v>Yes</x:v>
      </x:c>
      <x:c r="M120" s="20" t="str">
        <x:v>No</x:v>
      </x:c>
      <x:c r="N120" s="20" t="str">
        <x:v>No</x:v>
      </x:c>
      <x:c r="O120" s="20" t="str">
        <x:v>No</x:v>
      </x:c>
      <x:c r="P120" s="20" t="str">
        <x:v>No</x:v>
      </x:c>
      <x:c r="Q120" s="20" t="str">
        <x:v>DLD-1, LoVo, THP-1 巨噬细胞</x:v>
      </x:c>
      <x:c r="R120" s="20" t="str">
        <x:v>not captured in source extraction</x:v>
      </x:c>
      <x:c r="S120" s="20" t="str">
        <x:v>Immune microenvironment; MAPK/JNK/ERK; ROS/ferroptosis</x:v>
      </x:c>
      <x:c r="T120" s="20" t="str">
        <x:v>Direct mechanistic evidence requiring in vivo validation.</x:v>
      </x:c>
      <x:c r="U120" s="20" t="str">
        <x:v>2024</x:v>
      </x:c>
      <x:c r="V120" s="20" t="str">
        <x:v>2024/08/01</x:v>
      </x:c>
      <x:c r="W120" s="20" t="str">
        <x:v>Dictamnine</x:v>
      </x:c>
      <x:c r="X120" s="20" t="str">
        <x:v>白鲜皮</x:v>
      </x:c>
      <x:c r="Y120" s="20" t="str">
        <x:v>Not established from supplied source field</x:v>
      </x:c>
      <x:c r="Z120" s="20" t="str">
        <x:v>Generic botanical, dietary, computational, or unspecified association</x:v>
      </x:c>
      <x:c r="AA120" s="20" t="str">
        <x:v>PMID 38851368; PMID38851368</x:v>
      </x:c>
      <x:c r="AB120" s="20" t="str">
        <x:v>Purified isolated compound(s): Dictamnine</x:v>
      </x:c>
      <x:c r="AC120" s="20" t="str">
        <x:v>One unique PMID-linked reference</x:v>
      </x:c>
    </x:row>
    <x:row r="121">
      <x:c r="A121" s="20" t="str">
        <x:v>38898204</x:v>
      </x:c>
      <x:c r="B121" s="20" t="str">
        <x:v>PMID38898204</x:v>
      </x:c>
      <x:c r="C121" s="20" t="str">
        <x:v>silibinin</x:v>
      </x:c>
      <x:c r="D121" s="20" t="str">
        <x:v>Flavonoids</x:v>
      </x:c>
      <x:c r="E121" s="20" t="str">
        <x:v>Development, Optimization, and in vitro Evaluation of Silybin-loaded PLGA Nanoparticles and Decoration with 5TR1 Aptamer for Targeted Delivery to Colorectal Cancer Cells.</x:v>
      </x:c>
      <x:c r="F121" s="20" t="str">
        <x:v>Formulation/nanodelivery contextual evidence</x:v>
      </x:c>
      <x:c r="G121" s="20" t="str">
        <x:v>No</x:v>
      </x:c>
      <x:c r="H121" s="20" t="str">
        <x:v>No</x:v>
      </x:c>
      <x:c r="I121" s="20" t="str">
        <x:v>No</x:v>
      </x:c>
      <x:c r="J121" s="20" t="str">
        <x:v>No</x:v>
      </x:c>
      <x:c r="K121" s="20" t="str">
        <x:v>Yes</x:v>
      </x:c>
      <x:c r="L121" s="20" t="str">
        <x:v>No</x:v>
      </x:c>
      <x:c r="M121" s="20" t="str">
        <x:v>Yes</x:v>
      </x:c>
      <x:c r="N121" s="20" t="str">
        <x:v>No</x:v>
      </x:c>
      <x:c r="O121" s="20" t="str">
        <x:v>No</x:v>
      </x:c>
      <x:c r="P121" s="20" t="str">
        <x:v>No</x:v>
      </x:c>
      <x:c r="Q121" s="20" t="str">
        <x:v>C26（小鼠）、HT29（人源）结直肠癌细胞；正常细胞对照；体外模型</x:v>
      </x:c>
      <x:c r="R121" s="20" t="str">
        <x:v>not captured in source extraction</x:v>
      </x:c>
      <x:c r="S121" s="20" t="str">
        <x:v>Apoptosis/cell cycle; Immune microenvironment</x:v>
      </x:c>
      <x:c r="T121" s="20" t="str">
        <x:v>Context only; the delivery system cannot be attributed to isolated monomer activity.</x:v>
      </x:c>
      <x:c r="U121" s="20" t="str">
        <x:v>2024</x:v>
      </x:c>
      <x:c r="V121" s="20" t="str">
        <x:v>2024/06/19</x:v>
      </x:c>
      <x:c r="W121" s="20" t="str">
        <x:v>silibinin</x:v>
      </x:c>
      <x:c r="X121" s="20" t="str">
        <x:v>水飞蓟</x:v>
      </x:c>
      <x:c r="Y121" s="20" t="str">
        <x:v>Not established from supplied source field</x:v>
      </x:c>
      <x:c r="Z121" s="20" t="str">
        <x:v>Generic botanical, dietary, computational, or unspecified association</x:v>
      </x:c>
      <x:c r="AA121" s="20" t="str">
        <x:v>PMID 38898204; PMID38898204</x:v>
      </x:c>
      <x:c r="AB121" s="20" t="str">
        <x:v>Formulation/nanodelivery contextual evidence</x:v>
      </x:c>
      <x:c r="AC121" s="20" t="str">
        <x:v>One unique PMID-linked reference</x:v>
      </x:c>
    </x:row>
    <x:row r="122">
      <x:c r="A122" s="20" t="str">
        <x:v>38948535</x:v>
      </x:c>
      <x:c r="B122" s="20" t="str">
        <x:v>PMID38948535</x:v>
      </x:c>
      <x:c r="C122" s="20" t="str">
        <x:v>Kaempferol; isorhamnetin; myricetin</x:v>
      </x:c>
      <x:c r="D122" s="20" t="str">
        <x:v>Flavonoids</x:v>
      </x:c>
      <x:c r="E122" s="20" t="str">
        <x:v>Targeting colorectal cancer using dietary flavonols.</x:v>
      </x:c>
      <x:c r="F122" s="20" t="str">
        <x:v>Extract/formula/decoction contextual evidence</x:v>
      </x:c>
      <x:c r="G122" s="20" t="str">
        <x:v>No</x:v>
      </x:c>
      <x:c r="H122" s="20" t="str">
        <x:v>No</x:v>
      </x:c>
      <x:c r="I122" s="20" t="str">
        <x:v>No</x:v>
      </x:c>
      <x:c r="J122" s="20" t="str">
        <x:v>No</x:v>
      </x:c>
      <x:c r="K122" s="20" t="str">
        <x:v>No</x:v>
      </x:c>
      <x:c r="L122" s="20" t="str">
        <x:v>Yes</x:v>
      </x:c>
      <x:c r="M122" s="20" t="str">
        <x:v>No</x:v>
      </x:c>
      <x:c r="N122" s="20" t="str">
        <x:v>Yes</x:v>
      </x:c>
      <x:c r="O122" s="20" t="str">
        <x:v>No</x:v>
      </x:c>
      <x:c r="P122" s="20" t="str">
        <x:v>Yes</x:v>
      </x:c>
      <x:c r="Q122" s="20" t="str">
        <x:v>体外、动物实验、流行病学研究 | （综述文章）体外、动物实验、流行病学研究 | HT-29 细胞、Caco-2、SW480、COLO 205、VACO-235 和 T84</x:v>
      </x:c>
      <x:c r="R122" s="20" t="str">
        <x:v>not captured in source extraction</x:v>
      </x:c>
      <x:c r="S122" s="20" t="str">
        <x:v>Apoptosis/cell cycle; EMT/ECM/metastasis; PI3K/Akt/mTOR/metabolism; ROS/ferroptosis</x:v>
      </x:c>
      <x:c r="T122" s="20" t="str">
        <x:v>Context only; preparation effects are not assigned to an isolated monomer.</x:v>
      </x:c>
      <x:c r="U122" s="20" t="str">
        <x:v>2023</x:v>
      </x:c>
      <x:c r="V122" s="20" t="str">
        <x:v>2023/11/28</x:v>
      </x:c>
      <x:c r="W122" s="20" t="str">
        <x:v>Kaempferol; isorhamnetin; myricetin</x:v>
      </x:c>
      <x:c r="X122" s="20" t="str">
        <x:v>葱属和芸苔属蔬菜和水果中、许多食用植物; 西兰花、番茄、樱桃、蓝莓、果皮、浆果、茶和红酒</x:v>
      </x:c>
      <x:c r="Y122" s="20" t="str">
        <x:v>Not established from this row alone</x:v>
      </x:c>
      <x:c r="Z122" s="20" t="str">
        <x:v>Dietary, generic botanical, or non-specific natural-product source</x:v>
      </x:c>
      <x:c r="AA122" s="20" t="str">
        <x:v>PMID 38948535; PMID38948535</x:v>
      </x:c>
      <x:c r="AB122" s="20" t="str">
        <x:v>Extract/formula/decoction contextual evidence</x:v>
      </x:c>
      <x:c r="AC122" s="20" t="str">
        <x:v>One unique PMID-linked reference</x:v>
      </x:c>
    </x:row>
    <x:row r="123">
      <x:c r="A123" s="20" t="str">
        <x:v>39002822</x:v>
      </x:c>
      <x:c r="B123" s="20" t="str">
        <x:v>PMID39002822</x:v>
      </x:c>
      <x:c r="C123" s="20" t="str">
        <x:v>Kaempferol; Luteolin</x:v>
      </x:c>
      <x:c r="D123" s="20" t="str">
        <x:v>Flavonoids</x:v>
      </x:c>
      <x:c r="E123" s="20" t="str">
        <x:v>Integrating UHPLC-Q-TOF-MS/MS, network pharmacology, bioinformatics and experimental validation to uncover the anti-cancer mechanisms of TiaoPi AnChang decoction in colorectal cancer.</x:v>
      </x:c>
      <x:c r="F123" s="20" t="str">
        <x:v>Extract/formula/decoction contextual evidence</x:v>
      </x:c>
      <x:c r="G123" s="20" t="str">
        <x:v>No</x:v>
      </x:c>
      <x:c r="H123" s="20" t="str">
        <x:v>No</x:v>
      </x:c>
      <x:c r="I123" s="20" t="str">
        <x:v>No</x:v>
      </x:c>
      <x:c r="J123" s="20" t="str">
        <x:v>No</x:v>
      </x:c>
      <x:c r="K123" s="20" t="str">
        <x:v>No</x:v>
      </x:c>
      <x:c r="L123" s="20" t="str">
        <x:v>No</x:v>
      </x:c>
      <x:c r="M123" s="20" t="str">
        <x:v>No</x:v>
      </x:c>
      <x:c r="N123" s="20" t="str">
        <x:v>Yes</x:v>
      </x:c>
      <x:c r="O123" s="20" t="str">
        <x:v>Yes</x:v>
      </x:c>
      <x:c r="P123" s="20" t="str">
        <x:v>No</x:v>
      </x:c>
      <x:c r="Q123" s="20" t="str">
        <x:v>体内模型：CT26 肿瘤荷瘤小鼠；
体外细胞模型：CT26 和 HCT116 结肠癌细胞系；
分子互作验证：使用 MMP3 蛋白 与 Luteolin 进行直接结合实验；
基因表达分析：通过 qPCR 检测关键基因（包括 MMP3）在肿瘤组织中的 mRNA 表达水平（Fig. 9G）；
蛋白表达检测：Western Blot 检测 E-cadherin 和 N-cadherin（上皮-间质转化 EMT 相关标志物）。 | 体外：CT26（小鼠）和 HCT116（人）结直肠癌细胞
体内：小鼠结直肠癌肿瘤组织</x:v>
      </x:c>
      <x:c r="R123" s="20" t="str">
        <x:v>not captured in source extraction</x:v>
      </x:c>
      <x:c r="S123" s="20" t="str">
        <x:v>EMT/ECM/metastasis</x:v>
      </x:c>
      <x:c r="T123" s="20" t="str">
        <x:v>Context only; preparation effects are not assigned to an isolated monomer.</x:v>
      </x:c>
      <x:c r="U123" s="20" t="str">
        <x:v>2024</x:v>
      </x:c>
      <x:c r="V123" s="20" t="str">
        <x:v>2024/11/15</x:v>
      </x:c>
      <x:c r="W123" s="20" t="str">
        <x:v>Kaempferol; Luteolin</x:v>
      </x:c>
      <x:c r="X123" s="20" t="str">
        <x:v>调脾安肠汤（TPACD）; 山奈</x:v>
      </x:c>
      <x:c r="Y123" s="20" t="str">
        <x:v>Source-dependent—named Chinese medicinal material or TCM preparation recorded</x:v>
      </x:c>
      <x:c r="Z123" s="20" t="str">
        <x:v>Requires source-level constituent verification for the specific record</x:v>
      </x:c>
      <x:c r="AA123" s="20" t="str">
        <x:v>PMID 39002822; PMID39002822</x:v>
      </x:c>
      <x:c r="AB123" s="20" t="str">
        <x:v>Extract/formula/decoction contextual evidence</x:v>
      </x:c>
      <x:c r="AC123" s="20" t="str">
        <x:v>One unique PMID-linked reference</x:v>
      </x:c>
    </x:row>
    <x:row r="124">
      <x:c r="A124" s="20" t="str">
        <x:v>39016938</x:v>
      </x:c>
      <x:c r="B124" s="20" t="str">
        <x:v>PMID39016938</x:v>
      </x:c>
      <x:c r="C124" s="20" t="str">
        <x:v>Kaempferol</x:v>
      </x:c>
      <x:c r="D124" s="20" t="str">
        <x:v>Flavonoids</x:v>
      </x:c>
      <x:c r="E124" s="20" t="str">
        <x:v>Chondroitin Sulfate-Modified Hydroxyapatite for Caspase-1 Activated Induced Pyroptosis through Ca Overload/ER Stress/STING/IRF3 Pathway in Colorectal Cancer.</x:v>
      </x:c>
      <x:c r="F124" s="20" t="str">
        <x:v>Formulation/nanodelivery contextual evidence</x:v>
      </x:c>
      <x:c r="G124" s="20" t="str">
        <x:v>No</x:v>
      </x:c>
      <x:c r="H124" s="20" t="str">
        <x:v>No</x:v>
      </x:c>
      <x:c r="I124" s="20" t="str">
        <x:v>No</x:v>
      </x:c>
      <x:c r="J124" s="20" t="str">
        <x:v>No</x:v>
      </x:c>
      <x:c r="K124" s="20" t="str">
        <x:v>Yes</x:v>
      </x:c>
      <x:c r="L124" s="20" t="str">
        <x:v>No</x:v>
      </x:c>
      <x:c r="M124" s="20" t="str">
        <x:v>Yes</x:v>
      </x:c>
      <x:c r="N124" s="20" t="str">
        <x:v>No</x:v>
      </x:c>
      <x:c r="O124" s="20" t="str">
        <x:v>No</x:v>
      </x:c>
      <x:c r="P124" s="20" t="str">
        <x:v>No</x:v>
      </x:c>
      <x:c r="Q124" s="20" t="str">
        <x:v>体外细胞模型：CT26 细胞（小鼠结肠癌细胞系）</x:v>
      </x:c>
      <x:c r="R124" s="20" t="str">
        <x:v>not captured in source extraction</x:v>
      </x:c>
      <x:c r="S124" s="20" t="str">
        <x:v>Apoptosis/cell cycle; Immune microenvironment; NF-kB/STAT3/inflammation</x:v>
      </x:c>
      <x:c r="T124" s="20" t="str">
        <x:v>Context only; the delivery system cannot be attributed to isolated monomer activity.</x:v>
      </x:c>
      <x:c r="U124" s="20" t="str">
        <x:v>2024</x:v>
      </x:c>
      <x:c r="V124" s="20" t="str">
        <x:v>2024/10/01</x:v>
      </x:c>
      <x:c r="W124" s="20" t="str">
        <x:v>Kaempferol</x:v>
      </x:c>
      <x:c r="X124" s="20" t="str">
        <x:v>山奈</x:v>
      </x:c>
      <x:c r="Y124" s="20" t="str">
        <x:v>Source-dependent—named Chinese medicinal material or TCM preparation recorded</x:v>
      </x:c>
      <x:c r="Z124" s="20" t="str">
        <x:v>Requires source-level constituent verification for the specific record</x:v>
      </x:c>
      <x:c r="AA124" s="20" t="str">
        <x:v>PMID 39016938; PMID39016938</x:v>
      </x:c>
      <x:c r="AB124" s="20" t="str">
        <x:v>Formulation/nanodelivery contextual evidence</x:v>
      </x:c>
      <x:c r="AC124" s="20" t="str">
        <x:v>One unique PMID-linked reference</x:v>
      </x:c>
    </x:row>
    <x:row r="125">
      <x:c r="A125" s="20" t="str">
        <x:v>39030594</x:v>
      </x:c>
      <x:c r="B125" s="20" t="str">
        <x:v>PMID39030594</x:v>
      </x:c>
      <x:c r="C125" s="20" t="str">
        <x:v>chrysophanol</x:v>
      </x:c>
      <x:c r="D125" s="20" t="str">
        <x:v>Anthraquinones</x:v>
      </x:c>
      <x:c r="E125" s="20" t="str">
        <x:v>Chrysophanol inhibits of colorectal cancer cell motility and energy metabolism by targeting the KITENIN/ErbB4 oncogenic complex.</x:v>
      </x:c>
      <x:c r="F125" s="20" t="str">
        <x:v>Cell-only isolated monomer evidence</x:v>
      </x:c>
      <x:c r="G125" s="20" t="str">
        <x:v>Yes</x:v>
      </x:c>
      <x:c r="H125" s="20" t="str">
        <x:v>No</x:v>
      </x:c>
      <x:c r="I125" s="20" t="str">
        <x:v>Yes</x:v>
      </x:c>
      <x:c r="J125" s="20" t="str">
        <x:v>No</x:v>
      </x:c>
      <x:c r="K125" s="20" t="str">
        <x:v>No</x:v>
      </x:c>
      <x:c r="L125" s="20" t="str">
        <x:v>No</x:v>
      </x:c>
      <x:c r="M125" s="20" t="str">
        <x:v>No</x:v>
      </x:c>
      <x:c r="N125" s="20" t="str">
        <x:v>No</x:v>
      </x:c>
      <x:c r="O125" s="20" t="str">
        <x:v>No</x:v>
      </x:c>
      <x:c r="P125" s="20" t="str">
        <x:v>No</x:v>
      </x:c>
      <x:c r="Q125" s="20" t="str">
        <x:v>体外细胞实验；分子对接模拟</x:v>
      </x:c>
      <x:c r="R125" s="20" t="str">
        <x:v>not captured in source extraction</x:v>
      </x:c>
      <x:c r="S125" s="20" t="str">
        <x:v>PI3K/Akt/mTOR/metabolism</x:v>
      </x:c>
      <x:c r="T125" s="20" t="str">
        <x:v>Direct mechanistic evidence requiring in vivo validation.</x:v>
      </x:c>
      <x:c r="U125" s="20" t="str">
        <x:v>2024</x:v>
      </x:c>
      <x:c r="V125" s="20" t="str">
        <x:v>2024/07/20</x:v>
      </x:c>
      <x:c r="W125" s="20" t="str">
        <x:v>chrysophanol</x:v>
      </x:c>
      <x:c r="X125" s="20" t="str">
        <x:v>天然</x:v>
      </x:c>
      <x:c r="Y125" s="20" t="str">
        <x:v>Not established from supplied source field</x:v>
      </x:c>
      <x:c r="Z125" s="20" t="str">
        <x:v>Generic botanical, dietary, computational, or unspecified association</x:v>
      </x:c>
      <x:c r="AA125" s="20" t="str">
        <x:v>PMID 39030594; PMID39030594</x:v>
      </x:c>
      <x:c r="AB125" s="20" t="str">
        <x:v>Purified isolated compound(s): chrysophanol</x:v>
      </x:c>
      <x:c r="AC125" s="20" t="str">
        <x:v>One unique PMID-linked reference</x:v>
      </x:c>
    </x:row>
    <x:row r="126">
      <x:c r="A126" s="20" t="str">
        <x:v>39068589</x:v>
      </x:c>
      <x:c r="B126" s="20" t="str">
        <x:v>PMID39068589</x:v>
      </x:c>
      <x:c r="C126" s="20" t="str">
        <x:v>silibinin</x:v>
      </x:c>
      <x:c r="D126" s="20" t="str">
        <x:v>Flavonoids</x:v>
      </x:c>
      <x:c r="E126" s="20" t="str">
        <x:v>Synthesis, Characterization, and In-Vitro Evaluation of Silibinin-loaded PEGylated Niosomal Nanoparticles: Potential Anti-Cancer Effects on SW480 Colon Cancer Cells.</x:v>
      </x:c>
      <x:c r="F126" s="20" t="str">
        <x:v>Formulation/nanodelivery contextual evidence</x:v>
      </x:c>
      <x:c r="G126" s="20" t="str">
        <x:v>No</x:v>
      </x:c>
      <x:c r="H126" s="20" t="str">
        <x:v>No</x:v>
      </x:c>
      <x:c r="I126" s="20" t="str">
        <x:v>No</x:v>
      </x:c>
      <x:c r="J126" s="20" t="str">
        <x:v>No</x:v>
      </x:c>
      <x:c r="K126" s="20" t="str">
        <x:v>No</x:v>
      </x:c>
      <x:c r="L126" s="20" t="str">
        <x:v>No</x:v>
      </x:c>
      <x:c r="M126" s="20" t="str">
        <x:v>Yes</x:v>
      </x:c>
      <x:c r="N126" s="20" t="str">
        <x:v>No</x:v>
      </x:c>
      <x:c r="O126" s="20" t="str">
        <x:v>No</x:v>
      </x:c>
      <x:c r="P126" s="20" t="str">
        <x:v>No</x:v>
      </x:c>
      <x:c r="Q126" s="20" t="str">
        <x:v>细胞系：SW480 人结肠癌细胞
对照细胞：人正常细胞
实验类型：体外（in-vitro）细胞实验</x:v>
      </x:c>
      <x:c r="R126" s="20" t="str">
        <x:v>not captured in source extraction</x:v>
      </x:c>
      <x:c r="S126" s="20" t="str">
        <x:v>Apoptosis/cell cycle</x:v>
      </x:c>
      <x:c r="T126" s="20" t="str">
        <x:v>Context only; the delivery system cannot be attributed to isolated monomer activity.</x:v>
      </x:c>
      <x:c r="U126" s="20" t="str">
        <x:v>2024</x:v>
      </x:c>
      <x:c r="V126" s="20" t="str">
        <x:v>2024/07/01</x:v>
      </x:c>
      <x:c r="W126" s="20" t="str">
        <x:v>silibinin</x:v>
      </x:c>
      <x:c r="X126" s="20" t="str">
        <x:v>牛奶蓟（milk thistle）</x:v>
      </x:c>
      <x:c r="Y126" s="20" t="str">
        <x:v>Not established from supplied source field</x:v>
      </x:c>
      <x:c r="Z126" s="20" t="str">
        <x:v>Generic botanical, dietary, computational, or unspecified association</x:v>
      </x:c>
      <x:c r="AA126" s="20" t="str">
        <x:v>PMID 39068589; PMID39068589</x:v>
      </x:c>
      <x:c r="AB126" s="20" t="str">
        <x:v>Formulation/nanodelivery contextual evidence</x:v>
      </x:c>
      <x:c r="AC126" s="20" t="str">
        <x:v>One unique PMID-linked reference</x:v>
      </x:c>
    </x:row>
    <x:row r="127">
      <x:c r="A127" s="20" t="str">
        <x:v>39125943</x:v>
      </x:c>
      <x:c r="B127" s="20" t="str">
        <x:v>PMID39125943</x:v>
      </x:c>
      <x:c r="C127" s="20" t="str">
        <x:v>sanguinarine</x:v>
      </x:c>
      <x:c r="D127" s="20" t="str">
        <x:v>Alkaloids</x:v>
      </x:c>
      <x:c r="E127" s="20" t="str">
        <x:v>Natural Alkaloids in Cancer Therapy: Berberine, Sanguinarine and Chelerythrine against Colorectal and Gastric Cancer.</x:v>
      </x:c>
      <x:c r="F127" s="20" t="str">
        <x:v>Review/background evidence</x:v>
      </x:c>
      <x:c r="G127" s="20" t="str">
        <x:v>No</x:v>
      </x:c>
      <x:c r="H127" s="20" t="str">
        <x:v>No</x:v>
      </x:c>
      <x:c r="I127" s="20" t="str">
        <x:v>No</x:v>
      </x:c>
      <x:c r="J127" s="20" t="str">
        <x:v>No</x:v>
      </x:c>
      <x:c r="K127" s="20" t="str">
        <x:v>Yes</x:v>
      </x:c>
      <x:c r="L127" s="20" t="str">
        <x:v>No</x:v>
      </x:c>
      <x:c r="M127" s="20" t="str">
        <x:v>No</x:v>
      </x:c>
      <x:c r="N127" s="20" t="str">
        <x:v>No</x:v>
      </x:c>
      <x:c r="O127" s="20" t="str">
        <x:v>No</x:v>
      </x:c>
      <x:c r="P127" s="20" t="str">
        <x:v>Yes</x:v>
      </x:c>
      <x:c r="Q127" s="20" t="str">
        <x:v>体外和体内实验</x:v>
      </x:c>
      <x:c r="R127" s="20" t="str">
        <x:v>not captured in source extraction</x:v>
      </x:c>
      <x:c r="S127" s="20" t="str">
        <x:v>Apoptosis/cell cycle; EMT/ECM/metastasis; Immune microenvironment; MAPK/JNK/ERK; NF-kB/STAT3/inflammation; PI3K/Akt/mTOR/metabolism</x:v>
      </x:c>
      <x:c r="T127" s="20" t="str">
        <x:v>Background synthesis only; not counted as new efficacy evidence.</x:v>
      </x:c>
      <x:c r="U127" s="20" t="str">
        <x:v>2024</x:v>
      </x:c>
      <x:c r="V127" s="20" t="str">
        <x:v>2024/07/31</x:v>
      </x:c>
      <x:c r="W127" s="20" t="str">
        <x:v>sanguinarine</x:v>
      </x:c>
      <x:c r="X127" s="20" t="str">
        <x:v>天然生物碱</x:v>
      </x:c>
      <x:c r="Y127" s="20" t="str">
        <x:v>No—direct Chinese materia medica association not established in supplied sources</x:v>
      </x:c>
      <x:c r="Z127" s="20" t="str">
        <x:v>Related natural-product evidence only</x:v>
      </x:c>
      <x:c r="AA127" s="20" t="str">
        <x:v>PMID 39125943; PMID39125943</x:v>
      </x:c>
      <x:c r="AB127" s="20" t="str">
        <x:v>Review/background evidence</x:v>
      </x:c>
      <x:c r="AC127" s="20" t="str">
        <x:v>One unique PMID-linked reference</x:v>
      </x:c>
    </x:row>
    <x:row r="128">
      <x:c r="A128" s="20" t="str">
        <x:v>39233923</x:v>
      </x:c>
      <x:c r="B128" s="20" t="str">
        <x:v>PMID39233923</x:v>
      </x:c>
      <x:c r="C128" s="20" t="str">
        <x:v>Kaempferol</x:v>
      </x:c>
      <x:c r="D128" s="20" t="str">
        <x:v>Flavonoids</x:v>
      </x:c>
      <x:c r="E128" s="20" t="str">
        <x:v>Molecular insights into kaempferol derivatives as potential inhibitors for CDK2 in colon cancer: pharmacophore modeling, docking, and dynamic analysis.</x:v>
      </x:c>
      <x:c r="F128" s="20" t="str">
        <x:v>Network pharmacology/in silico evidence</x:v>
      </x:c>
      <x:c r="G128" s="20" t="str">
        <x:v>No</x:v>
      </x:c>
      <x:c r="H128" s="20" t="str">
        <x:v>No</x:v>
      </x:c>
      <x:c r="I128" s="20" t="str">
        <x:v>No</x:v>
      </x:c>
      <x:c r="J128" s="20" t="str">
        <x:v>No</x:v>
      </x:c>
      <x:c r="K128" s="20" t="str">
        <x:v>No</x:v>
      </x:c>
      <x:c r="L128" s="20" t="str">
        <x:v>No</x:v>
      </x:c>
      <x:c r="M128" s="20" t="str">
        <x:v>No</x:v>
      </x:c>
      <x:c r="N128" s="20" t="str">
        <x:v>No</x:v>
      </x:c>
      <x:c r="O128" s="20" t="str">
        <x:v>Yes</x:v>
      </x:c>
      <x:c r="P128" s="20" t="str">
        <x:v>No</x:v>
      </x:c>
      <x:c r="Q128" s="20" t="str">
        <x:v>概念药效团建模、分子对接和分子动力学分析</x:v>
      </x:c>
      <x:c r="R128" s="20" t="str">
        <x:v>not captured in source extraction</x:v>
      </x:c>
      <x:c r="S128" s="20" t="str"/>
      <x:c r="T128" s="20" t="str">
        <x:v>Hypothesis generation only unless supported by a separate direct record.</x:v>
      </x:c>
      <x:c r="U128" s="20" t="str">
        <x:v>2024</x:v>
      </x:c>
      <x:c r="V128" s="20" t="str">
        <x:v>2024/08/21</x:v>
      </x:c>
      <x:c r="W128" s="20" t="str">
        <x:v>Kaempferol</x:v>
      </x:c>
      <x:c r="X128" s="20" t="str">
        <x:v>PubChem</x:v>
      </x:c>
      <x:c r="Y128" s="20" t="str">
        <x:v>Not established from this row alone</x:v>
      </x:c>
      <x:c r="Z128" s="20" t="str">
        <x:v>Dietary, generic botanical, or non-specific natural-product source</x:v>
      </x:c>
      <x:c r="AA128" s="20" t="str">
        <x:v>PMID 39233923; PMID39233923</x:v>
      </x:c>
      <x:c r="AB128" s="20" t="str">
        <x:v>Network pharmacology/in silico evidence</x:v>
      </x:c>
      <x:c r="AC128" s="20" t="str">
        <x:v>One unique PMID-linked reference</x:v>
      </x:c>
    </x:row>
    <x:row r="129">
      <x:c r="A129" s="20" t="str">
        <x:v>39271360</x:v>
      </x:c>
      <x:c r="B129" s="20" t="str">
        <x:v>PMID39271360</x:v>
      </x:c>
      <x:c r="C129" s="20" t="str">
        <x:v>Luteolin</x:v>
      </x:c>
      <x:c r="D129" s="20" t="str">
        <x:v>Flavonoids</x:v>
      </x:c>
      <x:c r="E129" s="20" t="str">
        <x:v>Exploration of the mechanism of luteolin against colorectal cancer based on network pharmacology and experimental validation.</x:v>
      </x:c>
      <x:c r="F129" s="20" t="str">
        <x:v>Cell-only isolated monomer evidence</x:v>
      </x:c>
      <x:c r="G129" s="20" t="str">
        <x:v>Yes</x:v>
      </x:c>
      <x:c r="H129" s="20" t="str">
        <x:v>No</x:v>
      </x:c>
      <x:c r="I129" s="20" t="str">
        <x:v>Yes</x:v>
      </x:c>
      <x:c r="J129" s="20" t="str">
        <x:v>No</x:v>
      </x:c>
      <x:c r="K129" s="20" t="str">
        <x:v>No</x:v>
      </x:c>
      <x:c r="L129" s="20" t="str">
        <x:v>No</x:v>
      </x:c>
      <x:c r="M129" s="20" t="str">
        <x:v>No</x:v>
      </x:c>
      <x:c r="N129" s="20" t="str">
        <x:v>No</x:v>
      </x:c>
      <x:c r="O129" s="20" t="str">
        <x:v>Yes</x:v>
      </x:c>
      <x:c r="P129" s="20" t="str">
        <x:v>No</x:v>
      </x:c>
      <x:c r="Q129" s="20" t="str">
        <x:v>CRC cells assessed by CCK-8 and RT-qPCR (verified in local article record)</x:v>
      </x:c>
      <x:c r="R129" s="20" t="str">
        <x:v>not captured in source extraction</x:v>
      </x:c>
      <x:c r="S129" s="20" t="str">
        <x:v>NF-kB/STAT3/inflammation; PI3K/Akt/mTOR/metabolism</x:v>
      </x:c>
      <x:c r="T129" s="20" t="str">
        <x:v>Direct experimental component only; Luteolin was directly tested in CRC cells; network-derived target interpretation remains hypothesis-generating.</x:v>
      </x:c>
      <x:c r="U129" s="20" t="str">
        <x:v>2024</x:v>
      </x:c>
      <x:c r="V129" s="20" t="str">
        <x:v>2024/09/12</x:v>
      </x:c>
      <x:c r="W129" s="20" t="str">
        <x:v>Luteolin</x:v>
      </x:c>
      <x:c r="X129" s="20" t="str">
        <x:v>植物</x:v>
      </x:c>
      <x:c r="Y129" s="20" t="str">
        <x:v>Not established from this row alone</x:v>
      </x:c>
      <x:c r="Z129" s="20" t="str">
        <x:v>Dietary, generic botanical, or non-specific natural-product source</x:v>
      </x:c>
      <x:c r="AA129" s="20" t="str">
        <x:v>PMID 39271360; PMID39271360</x:v>
      </x:c>
      <x:c r="AB129" s="20" t="str">
        <x:v>Purified isolated compound(s): Luteolin</x:v>
      </x:c>
      <x:c r="AC129" s="20" t="str">
        <x:v>One unique PMID-linked reference</x:v>
      </x:c>
    </x:row>
    <x:row r="130">
      <x:c r="A130" s="20" t="str">
        <x:v>39276049</x:v>
      </x:c>
      <x:c r="B130" s="20" t="str">
        <x:v>PMID39276049</x:v>
      </x:c>
      <x:c r="C130" s="20" t="str">
        <x:v>sanguinarine</x:v>
      </x:c>
      <x:c r="D130" s="20" t="str">
        <x:v>Alkaloids</x:v>
      </x:c>
      <x:c r="E130" s="20" t="str">
        <x:v>[Sanguinarine induces ferroptosis of colorectal cancer cells by upregulating STUB1 and downregulating GPX4].</x:v>
      </x:c>
      <x:c r="F130" s="20" t="str">
        <x:v>Cell-only isolated monomer evidence</x:v>
      </x:c>
      <x:c r="G130" s="20" t="str">
        <x:v>Yes</x:v>
      </x:c>
      <x:c r="H130" s="20" t="str">
        <x:v>No</x:v>
      </x:c>
      <x:c r="I130" s="20" t="str">
        <x:v>Yes</x:v>
      </x:c>
      <x:c r="J130" s="20" t="str">
        <x:v>No</x:v>
      </x:c>
      <x:c r="K130" s="20" t="str">
        <x:v>No</x:v>
      </x:c>
      <x:c r="L130" s="20" t="str">
        <x:v>Yes</x:v>
      </x:c>
      <x:c r="M130" s="20" t="str">
        <x:v>No</x:v>
      </x:c>
      <x:c r="N130" s="20" t="str">
        <x:v>No</x:v>
      </x:c>
      <x:c r="O130" s="20" t="str">
        <x:v>No</x:v>
      </x:c>
      <x:c r="P130" s="20" t="str">
        <x:v>No</x:v>
      </x:c>
      <x:c r="Q130" s="20" t="str">
        <x:v>SW620 和 HCT-116 细胞系（体外）</x:v>
      </x:c>
      <x:c r="R130" s="20" t="str">
        <x:v>Sanguinarine concentration series: SW620 0-2 µmol/L; HCT-116 0-3 µmol/L</x:v>
      </x:c>
      <x:c r="S130" s="20" t="str">
        <x:v>ROS/ferroptosis</x:v>
      </x:c>
      <x:c r="T130" s="20" t="str">
        <x:v>Direct mechanistic evidence requiring in vivo validation.</x:v>
      </x:c>
      <x:c r="U130" s="20" t="str">
        <x:v>2024</x:v>
      </x:c>
      <x:c r="V130" s="20" t="str">
        <x:v>2024/08/20</x:v>
      </x:c>
      <x:c r="W130" s="20" t="str">
        <x:v>sanguinarine</x:v>
      </x:c>
      <x:c r="X130" s="20" t="str">
        <x:v>植物</x:v>
      </x:c>
      <x:c r="Y130" s="20" t="str">
        <x:v>No—direct Chinese materia medica association not established in supplied sources</x:v>
      </x:c>
      <x:c r="Z130" s="20" t="str">
        <x:v>Related natural-product evidence only</x:v>
      </x:c>
      <x:c r="AA130" s="20" t="str">
        <x:v>PMID 39276049; PMID39276049</x:v>
      </x:c>
      <x:c r="AB130" s="20" t="str">
        <x:v>Purified isolated compound(s): sanguinarine</x:v>
      </x:c>
      <x:c r="AC130" s="20" t="str">
        <x:v>One unique PMID-linked reference</x:v>
      </x:c>
    </x:row>
    <x:row r="131">
      <x:c r="A131" s="20" t="str">
        <x:v>39300917</x:v>
      </x:c>
      <x:c r="B131" s="20" t="str">
        <x:v>PMID39300917</x:v>
      </x:c>
      <x:c r="C131" s="20" t="str">
        <x:v>Luteolin</x:v>
      </x:c>
      <x:c r="D131" s="20" t="str">
        <x:v>Flavonoids</x:v>
      </x:c>
      <x:c r="E131" s="20" t="str">
        <x:v>Revisiting Luteolin Against the Mediators of Human Metastatic Colorectal Carcinoma: A Biomolecular Approach.</x:v>
      </x:c>
      <x:c r="F131" s="20" t="str">
        <x:v>Cell-only isolated monomer evidence</x:v>
      </x:c>
      <x:c r="G131" s="20" t="str">
        <x:v>Yes</x:v>
      </x:c>
      <x:c r="H131" s="20" t="str">
        <x:v>No</x:v>
      </x:c>
      <x:c r="I131" s="20" t="str">
        <x:v>Yes</x:v>
      </x:c>
      <x:c r="J131" s="20" t="str">
        <x:v>No</x:v>
      </x:c>
      <x:c r="K131" s="20" t="str">
        <x:v>No</x:v>
      </x:c>
      <x:c r="L131" s="20" t="str">
        <x:v>No</x:v>
      </x:c>
      <x:c r="M131" s="20" t="str">
        <x:v>No</x:v>
      </x:c>
      <x:c r="N131" s="20" t="str">
        <x:v>No</x:v>
      </x:c>
      <x:c r="O131" s="20" t="str">
        <x:v>No</x:v>
      </x:c>
      <x:c r="P131" s="20" t="str">
        <x:v>No</x:v>
      </x:c>
      <x:c r="Q131" s="20" t="str">
        <x:v>人结直肠癌细胞系 HCT116；
细胞培养基：RPMI-1640；
含抗生素培养体系；
MTT 法检测细胞活力</x:v>
      </x:c>
      <x:c r="R131" s="20" t="str">
        <x:v>not captured in source extraction</x:v>
      </x:c>
      <x:c r="S131" s="20" t="str">
        <x:v>EMT/ECM/metastasis; NF-kB/STAT3/inflammation; PI3K/Akt/mTOR/metabolism; Wnt/beta-catenin/stemness</x:v>
      </x:c>
      <x:c r="T131" s="20" t="str">
        <x:v>Direct mechanistic evidence requiring in vivo validation.</x:v>
      </x:c>
      <x:c r="U131" s="20" t="str">
        <x:v>2025</x:v>
      </x:c>
      <x:c r="V131" s="20" t="str">
        <x:v>2025/01/01</x:v>
      </x:c>
      <x:c r="W131" s="20" t="str">
        <x:v>Luteolin</x:v>
      </x:c>
      <x:c r="X131" s="20" t="str">
        <x:v>植物类黄酮</x:v>
      </x:c>
      <x:c r="Y131" s="20" t="str">
        <x:v>Not established from this row alone</x:v>
      </x:c>
      <x:c r="Z131" s="20" t="str">
        <x:v>Dietary, generic botanical, or non-specific natural-product source</x:v>
      </x:c>
      <x:c r="AA131" s="20" t="str">
        <x:v>PMID 39300917; PMID39300917</x:v>
      </x:c>
      <x:c r="AB131" s="20" t="str">
        <x:v>Purified isolated compound(s): Luteolin</x:v>
      </x:c>
      <x:c r="AC131" s="20" t="str">
        <x:v>One unique PMID-linked reference</x:v>
      </x:c>
    </x:row>
    <x:row r="132">
      <x:c r="A132" s="20" t="str">
        <x:v>39310106</x:v>
      </x:c>
      <x:c r="B132" s="20" t="str">
        <x:v>PMID39310106</x:v>
      </x:c>
      <x:c r="C132" s="20" t="str">
        <x:v>Honokiol</x:v>
      </x:c>
      <x:c r="D132" s="20" t="str">
        <x:v>Neolignans</x:v>
      </x:c>
      <x:c r="E132" s="20" t="str">
        <x:v>Honokiol enhances the sensitivity of cetuximab in KRASG13D mutant colorectal cancer by destroying SNX3-retromer.</x:v>
      </x:c>
      <x:c r="F132" s="20" t="str">
        <x:v>Animal-validated isolated monomer evidence</x:v>
      </x:c>
      <x:c r="G132" s="20" t="str">
        <x:v>Yes</x:v>
      </x:c>
      <x:c r="H132" s="20" t="str">
        <x:v>Yes</x:v>
      </x:c>
      <x:c r="I132" s="20" t="str">
        <x:v>No</x:v>
      </x:c>
      <x:c r="J132" s="20" t="str">
        <x:v>Yes</x:v>
      </x:c>
      <x:c r="K132" s="20" t="str">
        <x:v>No</x:v>
      </x:c>
      <x:c r="L132" s="20" t="str">
        <x:v>No</x:v>
      </x:c>
      <x:c r="M132" s="20" t="str">
        <x:v>No</x:v>
      </x:c>
      <x:c r="N132" s="20" t="str">
        <x:v>No</x:v>
      </x:c>
      <x:c r="O132" s="20" t="str">
        <x:v>No</x:v>
      </x:c>
      <x:c r="P132" s="20" t="str">
        <x:v>No</x:v>
      </x:c>
      <x:c r="Q132" s="20" t="str">
        <x:v>体外：KRAS突变CRC细胞；体内：KRASG13D突变CRC动物模型</x:v>
      </x:c>
      <x:c r="R132" s="20" t="str">
        <x:v>20 µM honokiol for 48 h in the initial CRC cell screen</x:v>
      </x:c>
      <x:c r="S132" s="20" t="str">
        <x:v>Apoptosis/cell cycle</x:v>
      </x:c>
      <x:c r="T132" s="20" t="str">
        <x:v>High-information direct preclinical evidence.</x:v>
      </x:c>
      <x:c r="U132" s="20" t="str">
        <x:v>2024</x:v>
      </x:c>
      <x:c r="V132" s="20" t="str">
        <x:v>2024/08/26</x:v>
      </x:c>
      <x:c r="W132" s="20" t="str">
        <x:v>Honokiol</x:v>
      </x:c>
      <x:c r="X132" s="20" t="str">
        <x:v>厚朴</x:v>
      </x:c>
      <x:c r="Y132" s="20" t="str">
        <x:v>Yes—directly traceable in supplied records</x:v>
      </x:c>
      <x:c r="Z132" s="20" t="str">
        <x:v>Constituent of Houpo (Magnolia officinalis)</x:v>
      </x:c>
      <x:c r="AA132" s="20" t="str">
        <x:v>PMID 39310106; PMID39310106</x:v>
      </x:c>
      <x:c r="AB132" s="20" t="str">
        <x:v>Purified isolated compound(s): Honokiol</x:v>
      </x:c>
      <x:c r="AC132" s="20" t="str">
        <x:v>One unique PMID-linked reference</x:v>
      </x:c>
    </x:row>
    <x:row r="133">
      <x:c r="A133" s="20" t="str">
        <x:v>39347400</x:v>
      </x:c>
      <x:c r="B133" s="20" t="str">
        <x:v>PMID39347400</x:v>
      </x:c>
      <x:c r="C133" s="20" t="str">
        <x:v>Kaempferol; Luteolin</x:v>
      </x:c>
      <x:c r="D133" s="20" t="str">
        <x:v>Flavonoids</x:v>
      </x:c>
      <x:c r="E133" s="20" t="str">
        <x:v>Shenqi Sanjie Granules induce Hmox1-mediated ferroptosis to inhibit colorectal cancer.</x:v>
      </x:c>
      <x:c r="F133" s="20" t="str">
        <x:v>Extract/formula/decoction contextual evidence</x:v>
      </x:c>
      <x:c r="G133" s="20" t="str">
        <x:v>No</x:v>
      </x:c>
      <x:c r="H133" s="20" t="str">
        <x:v>No</x:v>
      </x:c>
      <x:c r="I133" s="20" t="str">
        <x:v>No</x:v>
      </x:c>
      <x:c r="J133" s="20" t="str">
        <x:v>No</x:v>
      </x:c>
      <x:c r="K133" s="20" t="str">
        <x:v>No</x:v>
      </x:c>
      <x:c r="L133" s="20" t="str">
        <x:v>Yes</x:v>
      </x:c>
      <x:c r="M133" s="20" t="str">
        <x:v>No</x:v>
      </x:c>
      <x:c r="N133" s="20" t="str">
        <x:v>Yes</x:v>
      </x:c>
      <x:c r="O133" s="20" t="str">
        <x:v>No</x:v>
      </x:c>
      <x:c r="P133" s="20" t="str">
        <x:v>No</x:v>
      </x:c>
      <x:c r="Q133" s="20" t="str">
        <x:v>体外：9 种不同的癌细胞系（包括 5 个 CRC 细胞系、1 个乳腺癌细胞系、2 个肺腺癌细胞系和 1 个宫颈癌细胞系）和小鼠 CRC 细胞系 CT26 
体内：皮下同基因小鼠模型和 AOM（嘧氧甲烷）/DSS（葡聚糖硫酸钠）诱导的原位结肠炎相关小鼠 CRC 模型</x:v>
      </x:c>
      <x:c r="R133" s="20" t="str">
        <x:v>not captured in source extraction</x:v>
      </x:c>
      <x:c r="S133" s="20" t="str">
        <x:v>EMT/ECM/metastasis; ROS/ferroptosis</x:v>
      </x:c>
      <x:c r="T133" s="20" t="str">
        <x:v>Context only; preparation effects are not assigned to an isolated monomer.</x:v>
      </x:c>
      <x:c r="U133" s="20" t="str">
        <x:v>2024</x:v>
      </x:c>
      <x:c r="V133" s="20" t="str">
        <x:v>2024/09/17</x:v>
      </x:c>
      <x:c r="W133" s="20" t="str">
        <x:v>Kaempferol; Luteolin</x:v>
      </x:c>
      <x:c r="X133" s="20" t="str">
        <x:v>参芪三解颗粒</x:v>
      </x:c>
      <x:c r="Y133" s="20" t="str">
        <x:v>Source-dependent—named Chinese medicinal material or TCM preparation recorded</x:v>
      </x:c>
      <x:c r="Z133" s="20" t="str">
        <x:v>Requires source-level constituent verification for the specific record</x:v>
      </x:c>
      <x:c r="AA133" s="20" t="str">
        <x:v>PMID 39347400; PMID39347400</x:v>
      </x:c>
      <x:c r="AB133" s="20" t="str">
        <x:v>Extract/formula/decoction contextual evidence</x:v>
      </x:c>
      <x:c r="AC133" s="20" t="str">
        <x:v>One unique PMID-linked reference</x:v>
      </x:c>
    </x:row>
    <x:row r="134">
      <x:c r="A134" s="20" t="str">
        <x:v>39413615</x:v>
      </x:c>
      <x:c r="B134" s="20" t="str">
        <x:v>PMID39413615</x:v>
      </x:c>
      <x:c r="C134" s="20" t="str">
        <x:v>Astragaloside IV</x:v>
      </x:c>
      <x:c r="D134" s="20" t="str">
        <x:v>Triterpenoid saponins</x:v>
      </x:c>
      <x:c r="E134" s="20" t="str">
        <x:v>Pharmacological potential of natural medicine Astragali Radix in treating intestinal diseases.</x:v>
      </x:c>
      <x:c r="F134" s="20" t="str">
        <x:v>Review/background evidence</x:v>
      </x:c>
      <x:c r="G134" s="20" t="str">
        <x:v>No</x:v>
      </x:c>
      <x:c r="H134" s="20" t="str">
        <x:v>No</x:v>
      </x:c>
      <x:c r="I134" s="20" t="str">
        <x:v>No</x:v>
      </x:c>
      <x:c r="J134" s="20" t="str">
        <x:v>No</x:v>
      </x:c>
      <x:c r="K134" s="20" t="str">
        <x:v>Yes</x:v>
      </x:c>
      <x:c r="L134" s="20" t="str">
        <x:v>Yes</x:v>
      </x:c>
      <x:c r="M134" s="20" t="str">
        <x:v>No</x:v>
      </x:c>
      <x:c r="N134" s="20" t="str">
        <x:v>No</x:v>
      </x:c>
      <x:c r="O134" s="20" t="str">
        <x:v>No</x:v>
      </x:c>
      <x:c r="P134" s="20" t="str">
        <x:v>Yes</x:v>
      </x:c>
      <x:c r="Q134" s="20" t="str">
        <x:v>LoVo 和 HCT116;CRC 临床样本;HCT116 异种移植裸鼠、LPS 诱导的 IEC6 细胞;AOM/DSS 诱导的 CAC 大鼠、CT26 细胞;携带 CT26 的小鼠</x:v>
      </x:c>
      <x:c r="R134" s="20" t="str">
        <x:v>not captured in source extraction</x:v>
      </x:c>
      <x:c r="S134" s="20" t="str">
        <x:v>Apoptosis/cell cycle; EMT/ECM/metastasis; Immune microenvironment; ROS/ferroptosis</x:v>
      </x:c>
      <x:c r="T134" s="20" t="str">
        <x:v>Background synthesis only; not counted as new efficacy evidence.</x:v>
      </x:c>
      <x:c r="U134" s="20" t="str">
        <x:v>2024</x:v>
      </x:c>
      <x:c r="V134" s="20" t="str">
        <x:v>2024/11/01</x:v>
      </x:c>
      <x:c r="W134" s="20" t="str">
        <x:v>Astragaloside IV</x:v>
      </x:c>
      <x:c r="X134" s="20" t="str">
        <x:v>黄芪</x:v>
      </x:c>
      <x:c r="Y134" s="20" t="str">
        <x:v>Yes—directly traceable in supplied records</x:v>
      </x:c>
      <x:c r="Z134" s="20" t="str">
        <x:v>Constituent of Huangqi (Astragalus medicinal material)</x:v>
      </x:c>
      <x:c r="AA134" s="20" t="str">
        <x:v>PMID 39413615; PMID39413615</x:v>
      </x:c>
      <x:c r="AB134" s="20" t="str">
        <x:v>Review/background evidence</x:v>
      </x:c>
      <x:c r="AC134" s="20" t="str">
        <x:v>One unique PMID-linked reference</x:v>
      </x:c>
    </x:row>
    <x:row r="135">
      <x:c r="A135" s="20" t="str">
        <x:v>39471878</x:v>
      </x:c>
      <x:c r="B135" s="20" t="str">
        <x:v>PMID39471878</x:v>
      </x:c>
      <x:c r="C135" s="20" t="str">
        <x:v>Eucalyptol; Honokiol; Magnolol; Obovatol</x:v>
      </x:c>
      <x:c r="D135" s="20" t="str">
        <x:v>Neolignans; Terpenoids</x:v>
      </x:c>
      <x:c r="E135" s="20" t="str">
        <x:v>Effect and mechanism of Magnolia officinalis in colorectal cancer: Multi-component-multi-target approach.</x:v>
      </x:c>
      <x:c r="F135" s="20" t="str">
        <x:v>Extract/formula/decoction contextual evidence</x:v>
      </x:c>
      <x:c r="G135" s="20" t="str">
        <x:v>No</x:v>
      </x:c>
      <x:c r="H135" s="20" t="str">
        <x:v>No</x:v>
      </x:c>
      <x:c r="I135" s="20" t="str">
        <x:v>No</x:v>
      </x:c>
      <x:c r="J135" s="20" t="str">
        <x:v>No</x:v>
      </x:c>
      <x:c r="K135" s="20" t="str">
        <x:v>No</x:v>
      </x:c>
      <x:c r="L135" s="20" t="str">
        <x:v>No</x:v>
      </x:c>
      <x:c r="M135" s="20" t="str">
        <x:v>No</x:v>
      </x:c>
      <x:c r="N135" s="20" t="str">
        <x:v>Yes</x:v>
      </x:c>
      <x:c r="O135" s="20" t="str">
        <x:v>No</x:v>
      </x:c>
      <x:c r="P135" s="20" t="str">
        <x:v>No</x:v>
      </x:c>
      <x:c r="Q135" s="20" t="str">
        <x:v>动物实验（体内）；HCT116 细胞和 Caco-2 细胞（体外）</x:v>
      </x:c>
      <x:c r="R135" s="20" t="str">
        <x:v>not captured in source extraction</x:v>
      </x:c>
      <x:c r="S135" s="20" t="str">
        <x:v>Apoptosis/cell cycle; NF-kB/STAT3/inflammation</x:v>
      </x:c>
      <x:c r="T135" s="20" t="str">
        <x:v>Context only; preparation effects are not assigned to an isolated monomer.</x:v>
      </x:c>
      <x:c r="U135" s="20" t="str">
        <x:v>2025</x:v>
      </x:c>
      <x:c r="V135" s="20" t="str">
        <x:v>2025/02/10</x:v>
      </x:c>
      <x:c r="W135" s="20" t="str">
        <x:v>Eucalyptol; Honokiol; Magnolol; Obovatol</x:v>
      </x:c>
      <x:c r="X135" s="20" t="str">
        <x:v>厚朴</x:v>
      </x:c>
      <x:c r="Y135" s="20" t="str">
        <x:v>Yes—directly traceable in supplied records</x:v>
      </x:c>
      <x:c r="Z135" s="20" t="str">
        <x:v>Constituent of Houpo (Magnolia officinalis)</x:v>
      </x:c>
      <x:c r="AA135" s="20" t="str">
        <x:v>PMID 39471878; PMID39471878</x:v>
      </x:c>
      <x:c r="AB135" s="20" t="str">
        <x:v>Extract/formula/decoction contextual evidence</x:v>
      </x:c>
      <x:c r="AC135" s="20" t="str">
        <x:v>One unique PMID-linked reference</x:v>
      </x:c>
    </x:row>
    <x:row r="136">
      <x:c r="A136" s="20" t="str">
        <x:v>39590517</x:v>
      </x:c>
      <x:c r="B136" s="20" t="str">
        <x:v>PMID39590517</x:v>
      </x:c>
      <x:c r="C136" s="20" t="str">
        <x:v>syringic acid</x:v>
      </x:c>
      <x:c r="D136" s="20" t="str">
        <x:v>Phenolic acids</x:v>
      </x:c>
      <x:c r="E136" s="20" t="str">
        <x:v>Effect of In Vitro Digestion on Anticancer and Antioxidant Activity of Phenolic Extracts From Latex of Fig Fruit (Ficus carica L.).</x:v>
      </x:c>
      <x:c r="F136" s="20" t="str">
        <x:v>Extract/formula/decoction contextual evidence</x:v>
      </x:c>
      <x:c r="G136" s="20" t="str">
        <x:v>No</x:v>
      </x:c>
      <x:c r="H136" s="20" t="str">
        <x:v>No</x:v>
      </x:c>
      <x:c r="I136" s="20" t="str">
        <x:v>No</x:v>
      </x:c>
      <x:c r="J136" s="20" t="str">
        <x:v>No</x:v>
      </x:c>
      <x:c r="K136" s="20" t="str">
        <x:v>No</x:v>
      </x:c>
      <x:c r="L136" s="20" t="str">
        <x:v>Yes</x:v>
      </x:c>
      <x:c r="M136" s="20" t="str">
        <x:v>No</x:v>
      </x:c>
      <x:c r="N136" s="20" t="str">
        <x:v>Yes</x:v>
      </x:c>
      <x:c r="O136" s="20" t="str">
        <x:v>No</x:v>
      </x:c>
      <x:c r="P136" s="20" t="str">
        <x:v>No</x:v>
      </x:c>
      <x:c r="Q136" s="20" t="str">
        <x:v>体外细胞模型
宫颈癌细胞系
结直肠癌细胞系</x:v>
      </x:c>
      <x:c r="R136" s="20" t="str">
        <x:v>not captured in source extraction</x:v>
      </x:c>
      <x:c r="S136" s="20" t="str">
        <x:v>ROS/ferroptosis</x:v>
      </x:c>
      <x:c r="T136" s="20" t="str">
        <x:v>Context only; preparation effects are not assigned to an isolated monomer.</x:v>
      </x:c>
      <x:c r="U136" s="20" t="str">
        <x:v>2025</x:v>
      </x:c>
      <x:c r="V136" s="20" t="str">
        <x:v>2025/04/01</x:v>
      </x:c>
      <x:c r="W136" s="20" t="str">
        <x:v>syringic acid</x:v>
      </x:c>
      <x:c r="X136" s="20" t="str">
        <x:v>白黑无花果乳胶</x:v>
      </x:c>
      <x:c r="Y136" s="20" t="str">
        <x:v>Not established from supplied source field</x:v>
      </x:c>
      <x:c r="Z136" s="20" t="str">
        <x:v>Generic botanical, dietary, computational, or unspecified association</x:v>
      </x:c>
      <x:c r="AA136" s="20" t="str">
        <x:v>PMID 39590517; PMID39590517</x:v>
      </x:c>
      <x:c r="AB136" s="20" t="str">
        <x:v>Extract/formula/decoction contextual evidence</x:v>
      </x:c>
      <x:c r="AC136" s="20" t="str">
        <x:v>One unique PMID-linked reference</x:v>
      </x:c>
    </x:row>
    <x:row r="137">
      <x:c r="A137" s="20" t="str">
        <x:v>39731415</x:v>
      </x:c>
      <x:c r="B137" s="20" t="str">
        <x:v>PMID39731415</x:v>
      </x:c>
      <x:c r="C137" s="20" t="str">
        <x:v>Formononetin; Hederagenin; Kaempferol; Luteolin; Stigmasterol</x:v>
      </x:c>
      <x:c r="D137" s="20" t="str">
        <x:v>Flavonoids; Phytosterols; Triterpenoids</x:v>
      </x:c>
      <x:c r="E137" s="20" t="str">
        <x:v>Integrating UPLC-MS/MS Bioinformatics and In Vivo Experiments Validation to Elucidate the Mechanism of Wenzi Jiedu Decoction in Suppressing Colorectal Cancer.</x:v>
      </x:c>
      <x:c r="F137" s="20" t="str">
        <x:v>Extract/formula/decoction contextual evidence</x:v>
      </x:c>
      <x:c r="G137" s="20" t="str">
        <x:v>No</x:v>
      </x:c>
      <x:c r="H137" s="20" t="str">
        <x:v>No</x:v>
      </x:c>
      <x:c r="I137" s="20" t="str">
        <x:v>No</x:v>
      </x:c>
      <x:c r="J137" s="20" t="str">
        <x:v>No</x:v>
      </x:c>
      <x:c r="K137" s="20" t="str">
        <x:v>Yes</x:v>
      </x:c>
      <x:c r="L137" s="20" t="str">
        <x:v>No</x:v>
      </x:c>
      <x:c r="M137" s="20" t="str">
        <x:v>No</x:v>
      </x:c>
      <x:c r="N137" s="20" t="str">
        <x:v>Yes</x:v>
      </x:c>
      <x:c r="O137" s="20" t="str">
        <x:v>Yes</x:v>
      </x:c>
      <x:c r="P137" s="20" t="str">
        <x:v>No</x:v>
      </x:c>
      <x:c r="Q137" s="20" t="str">
        <x:v>分子对接和动物实验 | 体内动物模型：结直肠癌荷瘤小鼠</x:v>
      </x:c>
      <x:c r="R137" s="20" t="str">
        <x:v>not captured in source extraction</x:v>
      </x:c>
      <x:c r="S137" s="20" t="str">
        <x:v>Apoptosis/cell cycle; Immune microenvironment; NF-kB/STAT3/inflammation; PI3K/Akt/mTOR/metabolism</x:v>
      </x:c>
      <x:c r="T137" s="20" t="str">
        <x:v>Context only; preparation effects are not assigned to an isolated monomer.</x:v>
      </x:c>
      <x:c r="U137" s="20" t="str">
        <x:v>2025</x:v>
      </x:c>
      <x:c r="V137" s="20" t="str">
        <x:v>2025/06/01</x:v>
      </x:c>
      <x:c r="W137" s="20" t="str">
        <x:v>Formononetin; Hederagenin; Kaempferol; Luteolin; Stigmasterol</x:v>
      </x:c>
      <x:c r="X137" s="20" t="str">
        <x:v>wenzi jiedu decoction; Wenzi Jiedu Decoction (WJD); 黄芪、三棱、莪术（这个翻译的问题要问一下老师）</x:v>
      </x:c>
      <x:c r="Y137" s="20" t="str">
        <x:v>Source-dependent—named Chinese medicinal material or TCM preparation recorded</x:v>
      </x:c>
      <x:c r="Z137" s="20" t="str">
        <x:v>Requires source-level constituent verification for the specific record</x:v>
      </x:c>
      <x:c r="AA137" s="20" t="str">
        <x:v>PMID 39731415; PMID39731415</x:v>
      </x:c>
      <x:c r="AB137" s="20" t="str">
        <x:v>Extract/formula/decoction contextual evidence</x:v>
      </x:c>
      <x:c r="AC137" s="20" t="str">
        <x:v>One unique PMID-linked reference</x:v>
      </x:c>
    </x:row>
    <x:row r="138">
      <x:c r="A138" s="20" t="str">
        <x:v>39914966</x:v>
      </x:c>
      <x:c r="B138" s="20" t="str">
        <x:v>PMID39914966</x:v>
      </x:c>
      <x:c r="C138" s="20" t="str">
        <x:v>Tanshinone IIA</x:v>
      </x:c>
      <x:c r="D138" s="20" t="str">
        <x:v>Diterpenoid quinones</x:v>
      </x:c>
      <x:c r="E138" s="20" t="str">
        <x:v>Tanshinone IIA@beta-cyclodextrin encapsulated with Eucommia ulmoides rubber/acetylated starch film as novel oral delivery system for therapy of orthotopic colon cancer.</x:v>
      </x:c>
      <x:c r="F138" s="20" t="str">
        <x:v>Formulation/nanodelivery contextual evidence</x:v>
      </x:c>
      <x:c r="G138" s="20" t="str">
        <x:v>No</x:v>
      </x:c>
      <x:c r="H138" s="20" t="str">
        <x:v>No</x:v>
      </x:c>
      <x:c r="I138" s="20" t="str">
        <x:v>No</x:v>
      </x:c>
      <x:c r="J138" s="20" t="str">
        <x:v>No</x:v>
      </x:c>
      <x:c r="K138" s="20" t="str">
        <x:v>No</x:v>
      </x:c>
      <x:c r="L138" s="20" t="str">
        <x:v>No</x:v>
      </x:c>
      <x:c r="M138" s="20" t="str">
        <x:v>Yes</x:v>
      </x:c>
      <x:c r="N138" s="20" t="str">
        <x:v>No</x:v>
      </x:c>
      <x:c r="O138" s="20" t="str">
        <x:v>No</x:v>
      </x:c>
      <x:c r="P138" s="20" t="str">
        <x:v>No</x:v>
      </x:c>
      <x:c r="Q138" s="20" t="str">
        <x:v>1. 体内模型：小鼠原位结肠癌模型
2. 体外模型：药物释放实验：在模拟胃液（SGF）和模拟肠液（SIF）中测定释放行为</x:v>
      </x:c>
      <x:c r="R138" s="20" t="str">
        <x:v>20.0%; 34.6%</x:v>
      </x:c>
      <x:c r="S138" s="20" t="str">
        <x:v>Wnt/beta-catenin/stemness</x:v>
      </x:c>
      <x:c r="T138" s="20" t="str">
        <x:v>Context only; the delivery system cannot be attributed to isolated monomer activity.</x:v>
      </x:c>
      <x:c r="U138" s="20" t="str">
        <x:v>2025</x:v>
      </x:c>
      <x:c r="V138" s="20" t="str">
        <x:v>2025/04/01</x:v>
      </x:c>
      <x:c r="W138" s="20" t="str">
        <x:v>Tanshinone IIA</x:v>
      </x:c>
      <x:c r="X138" s="20" t="str">
        <x:v>丹参</x:v>
      </x:c>
      <x:c r="Y138" s="20" t="str">
        <x:v>Yes—directly traceable in supplied records</x:v>
      </x:c>
      <x:c r="Z138" s="20" t="str">
        <x:v>Constituent of Danshen (Salvia miltiorrhiza)</x:v>
      </x:c>
      <x:c r="AA138" s="20" t="str">
        <x:v>PMID 39914966; PMID39914966</x:v>
      </x:c>
      <x:c r="AB138" s="20" t="str">
        <x:v>Formulation/nanodelivery contextual evidence</x:v>
      </x:c>
      <x:c r="AC138" s="20" t="str">
        <x:v>One unique PMID-linked reference</x:v>
      </x:c>
    </x:row>
    <x:row r="139">
      <x:c r="A139" s="20" t="str">
        <x:v>39929402</x:v>
      </x:c>
      <x:c r="B139" s="20" t="str">
        <x:v>PMID39929402</x:v>
      </x:c>
      <x:c r="C139" s="20" t="str">
        <x:v>Kaempferol</x:v>
      </x:c>
      <x:c r="D139" s="20" t="str">
        <x:v>Flavonoids</x:v>
      </x:c>
      <x:c r="E139" s="20" t="str">
        <x:v>In silico and animal studies on the anti-cancer mechanisms of Shaoyao Decoction against colitis-associated colorectal cancer.</x:v>
      </x:c>
      <x:c r="F139" s="20" t="str">
        <x:v>Extract/formula/decoction contextual evidence</x:v>
      </x:c>
      <x:c r="G139" s="20" t="str">
        <x:v>No</x:v>
      </x:c>
      <x:c r="H139" s="20" t="str">
        <x:v>No</x:v>
      </x:c>
      <x:c r="I139" s="20" t="str">
        <x:v>No</x:v>
      </x:c>
      <x:c r="J139" s="20" t="str">
        <x:v>No</x:v>
      </x:c>
      <x:c r="K139" s="20" t="str">
        <x:v>No</x:v>
      </x:c>
      <x:c r="L139" s="20" t="str">
        <x:v>No</x:v>
      </x:c>
      <x:c r="M139" s="20" t="str">
        <x:v>No</x:v>
      </x:c>
      <x:c r="N139" s="20" t="str">
        <x:v>Yes</x:v>
      </x:c>
      <x:c r="O139" s="20" t="str">
        <x:v>Yes</x:v>
      </x:c>
      <x:c r="P139" s="20" t="str">
        <x:v>No</x:v>
      </x:c>
      <x:c r="Q139" s="20" t="str">
        <x:v>动物模型：AOM/DSS 诱导的结肠炎相关结直肠癌（CAC）小鼠模型</x:v>
      </x:c>
      <x:c r="R139" s="20" t="str">
        <x:v>not captured in source extraction</x:v>
      </x:c>
      <x:c r="S139" s="20" t="str">
        <x:v>Apoptosis/cell cycle</x:v>
      </x:c>
      <x:c r="T139" s="20" t="str">
        <x:v>Context only; preparation effects are not assigned to an isolated monomer.</x:v>
      </x:c>
      <x:c r="U139" s="20" t="str">
        <x:v>2025</x:v>
      </x:c>
      <x:c r="V139" s="20" t="str">
        <x:v>2025/04/09</x:v>
      </x:c>
      <x:c r="W139" s="20" t="str">
        <x:v>Kaempferol</x:v>
      </x:c>
      <x:c r="X139" s="20" t="str">
        <x:v>芍药汤</x:v>
      </x:c>
      <x:c r="Y139" s="20" t="str">
        <x:v>Source-dependent—named Chinese medicinal material or TCM preparation recorded</x:v>
      </x:c>
      <x:c r="Z139" s="20" t="str">
        <x:v>Requires source-level constituent verification for the specific record</x:v>
      </x:c>
      <x:c r="AA139" s="20" t="str">
        <x:v>PMID 39929402; PMID39929402</x:v>
      </x:c>
      <x:c r="AB139" s="20" t="str">
        <x:v>Extract/formula/decoction contextual evidence</x:v>
      </x:c>
      <x:c r="AC139" s="20" t="str">
        <x:v>One unique PMID-linked reference</x:v>
      </x:c>
    </x:row>
    <x:row r="140">
      <x:c r="A140" s="20" t="str">
        <x:v>39950759</x:v>
      </x:c>
      <x:c r="B140" s="20" t="str">
        <x:v>PMID39950759</x:v>
      </x:c>
      <x:c r="C140" s="20" t="str">
        <x:v>Honokiol; Magnolol</x:v>
      </x:c>
      <x:c r="D140" s="20" t="str">
        <x:v>Neolignans</x:v>
      </x:c>
      <x:c r="E140" s="20" t="str">
        <x:v>Honokiol-Magnolol-Baicalin Possesses Synergistic Anticancer Potential and Enhances the Efficacy of Anti-PD-1 Immunotherapy in Colorectal Cancer by Triggering GSDME-Dependent Pyroptosis.</x:v>
      </x:c>
      <x:c r="F140" s="20" t="str">
        <x:v>Extract/formula/decoction contextual evidence</x:v>
      </x:c>
      <x:c r="G140" s="20" t="str">
        <x:v>No</x:v>
      </x:c>
      <x:c r="H140" s="20" t="str">
        <x:v>No</x:v>
      </x:c>
      <x:c r="I140" s="20" t="str">
        <x:v>No</x:v>
      </x:c>
      <x:c r="J140" s="20" t="str">
        <x:v>Yes</x:v>
      </x:c>
      <x:c r="K140" s="20" t="str">
        <x:v>Yes</x:v>
      </x:c>
      <x:c r="L140" s="20" t="str">
        <x:v>No</x:v>
      </x:c>
      <x:c r="M140" s="20" t="str">
        <x:v>No</x:v>
      </x:c>
      <x:c r="N140" s="20" t="str">
        <x:v>Yes</x:v>
      </x:c>
      <x:c r="O140" s="20" t="str">
        <x:v>No</x:v>
      </x:c>
      <x:c r="P140" s="20" t="str">
        <x:v>No</x:v>
      </x:c>
      <x:c r="Q140" s="20" t="str">
        <x:v>体外和体内实验</x:v>
      </x:c>
      <x:c r="R140" s="20" t="str">
        <x:v>not captured in source extraction</x:v>
      </x:c>
      <x:c r="S140" s="20" t="str">
        <x:v>Immune microenvironment</x:v>
      </x:c>
      <x:c r="T140" s="20" t="str">
        <x:v>Context only; preparation effects are not assigned to an isolated monomer.</x:v>
      </x:c>
      <x:c r="U140" s="20" t="str">
        <x:v>2025</x:v>
      </x:c>
      <x:c r="V140" s="20" t="str">
        <x:v>2025/04/01</x:v>
      </x:c>
      <x:c r="W140" s="20" t="str">
        <x:v>Honokiol; Magnolol</x:v>
      </x:c>
      <x:c r="X140" s="20" t="str">
        <x:v>黄芩厚朴汤</x:v>
      </x:c>
      <x:c r="Y140" s="20" t="str">
        <x:v>Yes—directly traceable in supplied records</x:v>
      </x:c>
      <x:c r="Z140" s="20" t="str">
        <x:v>Constituent of Houpo (Magnolia officinalis)</x:v>
      </x:c>
      <x:c r="AA140" s="20" t="str">
        <x:v>PMID 39950759; PMID39950759</x:v>
      </x:c>
      <x:c r="AB140" s="20" t="str">
        <x:v>Extract/formula/decoction contextual evidence</x:v>
      </x:c>
      <x:c r="AC140" s="20" t="str">
        <x:v>One unique PMID-linked reference</x:v>
      </x:c>
    </x:row>
    <x:row r="141">
      <x:c r="A141" s="20" t="str">
        <x:v>39987121</x:v>
      </x:c>
      <x:c r="B141" s="20" t="str">
        <x:v>PMID39987121</x:v>
      </x:c>
      <x:c r="C141" s="20" t="str">
        <x:v>macrocarpal I</x:v>
      </x:c>
      <x:c r="D141" s="20" t="str">
        <x:v>Meroterpenoids</x:v>
      </x:c>
      <x:c r="E141" s="20" t="str">
        <x:v>Macrocarpal I induces immunogenic cell death and synergizes with immune checkpoint inhibition by targeting tubulin and PARP1 in colorectal cancer.</x:v>
      </x:c>
      <x:c r="F141" s="20" t="str">
        <x:v>Animal-validated isolated monomer evidence</x:v>
      </x:c>
      <x:c r="G141" s="20" t="str">
        <x:v>Yes</x:v>
      </x:c>
      <x:c r="H141" s="20" t="str">
        <x:v>Yes</x:v>
      </x:c>
      <x:c r="I141" s="20" t="str">
        <x:v>No</x:v>
      </x:c>
      <x:c r="J141" s="20" t="str">
        <x:v>Yes</x:v>
      </x:c>
      <x:c r="K141" s="20" t="str">
        <x:v>Yes</x:v>
      </x:c>
      <x:c r="L141" s="20" t="str">
        <x:v>Yes</x:v>
      </x:c>
      <x:c r="M141" s="20" t="str">
        <x:v>No</x:v>
      </x:c>
      <x:c r="N141" s="20" t="str">
        <x:v>No</x:v>
      </x:c>
      <x:c r="O141" s="20" t="str">
        <x:v>No</x:v>
      </x:c>
      <x:c r="P141" s="20" t="str">
        <x:v>No</x:v>
      </x:c>
      <x:c r="Q141" s="20" t="str">
        <x:v>MC38 同基因型小鼠结直肠癌模型</x:v>
      </x:c>
      <x:c r="R141" s="20" t="str">
        <x:v>not captured in source extraction</x:v>
      </x:c>
      <x:c r="S141" s="20" t="str">
        <x:v>Immune microenvironment; MAPK/JNK/ERK; ROS/ferroptosis</x:v>
      </x:c>
      <x:c r="T141" s="20" t="str">
        <x:v>Direct isolated-monomer experiment with animal evidence verified from the local article record.</x:v>
      </x:c>
      <x:c r="U141" s="20" t="str">
        <x:v>2025</x:v>
      </x:c>
      <x:c r="V141" s="20" t="str">
        <x:v>2025/02/22</x:v>
      </x:c>
      <x:c r="W141" s="20" t="str">
        <x:v>macrocarpal I</x:v>
      </x:c>
      <x:c r="X141" s="20" t="str">
        <x:v>天然化合物</x:v>
      </x:c>
      <x:c r="Y141" s="20" t="str">
        <x:v>No—direct Chinese materia medica association not established in supplied sources</x:v>
      </x:c>
      <x:c r="Z141" s="20" t="str">
        <x:v>Related natural-product evidence only</x:v>
      </x:c>
      <x:c r="AA141" s="20" t="str">
        <x:v>PMID 39987121; PMID39987121</x:v>
      </x:c>
      <x:c r="AB141" s="20" t="str">
        <x:v>Purified isolated compound(s): macrocarpal I</x:v>
      </x:c>
      <x:c r="AC141" s="20" t="str">
        <x:v>One unique PMID-linked reference</x:v>
      </x:c>
    </x:row>
    <x:row r="142">
      <x:c r="A142" s="20" t="str">
        <x:v>39996847</x:v>
      </x:c>
      <x:c r="B142" s="20" t="str">
        <x:v>PMID39996847</x:v>
      </x:c>
      <x:c r="C142" s="20" t="str">
        <x:v>Luteolin</x:v>
      </x:c>
      <x:c r="D142" s="20" t="str">
        <x:v>Flavonoids</x:v>
      </x:c>
      <x:c r="E142" s="20" t="str">
        <x:v>Luteolin in Inflammatory Bowel Disease and Colorectal Cancer: A Disease Continuum Perspective.</x:v>
      </x:c>
      <x:c r="F142" s="20" t="str">
        <x:v>Review/background evidence</x:v>
      </x:c>
      <x:c r="G142" s="20" t="str">
        <x:v>No</x:v>
      </x:c>
      <x:c r="H142" s="20" t="str">
        <x:v>No</x:v>
      </x:c>
      <x:c r="I142" s="20" t="str">
        <x:v>No</x:v>
      </x:c>
      <x:c r="J142" s="20" t="str">
        <x:v>No</x:v>
      </x:c>
      <x:c r="K142" s="20" t="str">
        <x:v>Yes</x:v>
      </x:c>
      <x:c r="L142" s="20" t="str">
        <x:v>Yes</x:v>
      </x:c>
      <x:c r="M142" s="20" t="str">
        <x:v>No</x:v>
      </x:c>
      <x:c r="N142" s="20" t="str">
        <x:v>No</x:v>
      </x:c>
      <x:c r="O142" s="20" t="str">
        <x:v>No</x:v>
      </x:c>
      <x:c r="P142" s="20" t="str">
        <x:v>Yes</x:v>
      </x:c>
      <x:c r="Q142" s="20" t="str">
        <x:v>not reported</x:v>
      </x:c>
      <x:c r="R142" s="20" t="str">
        <x:v>not captured in source extraction</x:v>
      </x:c>
      <x:c r="S142" s="20" t="str">
        <x:v>Apoptosis/cell cycle; EMT/ECM/metastasis; Immune microenvironment; NF-kB/STAT3/inflammation; ROS/ferroptosis</x:v>
      </x:c>
      <x:c r="T142" s="20" t="str">
        <x:v>Background synthesis only; not counted as new efficacy evidence.</x:v>
      </x:c>
      <x:c r="U142" s="20" t="str">
        <x:v>2025</x:v>
      </x:c>
      <x:c r="V142" s="20" t="str">
        <x:v>2025/02/14</x:v>
      </x:c>
      <x:c r="W142" s="20" t="str">
        <x:v>Luteolin</x:v>
      </x:c>
      <x:c r="X142" s="20" t="str">
        <x:v>金银花、芹菜、胡椒、西兰花、胡萝卜、黄芪和当归</x:v>
      </x:c>
      <x:c r="Y142" s="20" t="str">
        <x:v>Source-dependent—named Chinese medicinal material or TCM preparation recorded</x:v>
      </x:c>
      <x:c r="Z142" s="20" t="str">
        <x:v>Requires source-level constituent verification for the specific record</x:v>
      </x:c>
      <x:c r="AA142" s="20" t="str">
        <x:v>PMID 39996847; PMID39996847</x:v>
      </x:c>
      <x:c r="AB142" s="20" t="str">
        <x:v>Review/background evidence</x:v>
      </x:c>
      <x:c r="AC142" s="20" t="str">
        <x:v>One unique PMID-linked reference</x:v>
      </x:c>
    </x:row>
    <x:row r="143">
      <x:c r="A143" s="20" t="str">
        <x:v>40065054</x:v>
      </x:c>
      <x:c r="B143" s="20" t="str">
        <x:v>PMID40065054</x:v>
      </x:c>
      <x:c r="C143" s="20" t="str">
        <x:v>Astragaloside IV</x:v>
      </x:c>
      <x:c r="D143" s="20" t="str">
        <x:v>Triterpenoid saponins</x:v>
      </x:c>
      <x:c r="E143" s="20" t="str">
        <x:v>Investigating the PI3K/AKT/mTOR axis in Buzhong Yiqi Decoction's anti-colorectal cancer activity.</x:v>
      </x:c>
      <x:c r="F143" s="20" t="str">
        <x:v>Extract/formula/decoction contextual evidence</x:v>
      </x:c>
      <x:c r="G143" s="20" t="str">
        <x:v>No</x:v>
      </x:c>
      <x:c r="H143" s="20" t="str">
        <x:v>No</x:v>
      </x:c>
      <x:c r="I143" s="20" t="str">
        <x:v>No</x:v>
      </x:c>
      <x:c r="J143" s="20" t="str">
        <x:v>No</x:v>
      </x:c>
      <x:c r="K143" s="20" t="str">
        <x:v>Yes</x:v>
      </x:c>
      <x:c r="L143" s="20" t="str">
        <x:v>No</x:v>
      </x:c>
      <x:c r="M143" s="20" t="str">
        <x:v>No</x:v>
      </x:c>
      <x:c r="N143" s="20" t="str">
        <x:v>Yes</x:v>
      </x:c>
      <x:c r="O143" s="20" t="str">
        <x:v>No</x:v>
      </x:c>
      <x:c r="P143" s="20" t="str">
        <x:v>No</x:v>
      </x:c>
      <x:c r="Q143" s="20" t="str">
        <x:v>体外实验模型</x:v>
      </x:c>
      <x:c r="R143" s="20" t="str">
        <x:v>not captured in source extraction</x:v>
      </x:c>
      <x:c r="S143" s="20" t="str">
        <x:v>Immune microenvironment; PI3K/Akt/mTOR/metabolism</x:v>
      </x:c>
      <x:c r="T143" s="20" t="str">
        <x:v>Context only; preparation effects are not assigned to an isolated monomer.</x:v>
      </x:c>
      <x:c r="U143" s="20" t="str">
        <x:v>2025</x:v>
      </x:c>
      <x:c r="V143" s="20" t="str">
        <x:v>2025/03/10</x:v>
      </x:c>
      <x:c r="W143" s="20" t="str">
        <x:v>Astragaloside IV</x:v>
      </x:c>
      <x:c r="X143" s="20" t="str">
        <x:v>补中益气汤</x:v>
      </x:c>
      <x:c r="Y143" s="20" t="str">
        <x:v>Yes—directly traceable in supplied records</x:v>
      </x:c>
      <x:c r="Z143" s="20" t="str">
        <x:v>Constituent of Huangqi (Astragalus medicinal material)</x:v>
      </x:c>
      <x:c r="AA143" s="20" t="str">
        <x:v>PMID 40065054; PMID40065054</x:v>
      </x:c>
      <x:c r="AB143" s="20" t="str">
        <x:v>Extract/formula/decoction contextual evidence</x:v>
      </x:c>
      <x:c r="AC143" s="20" t="str">
        <x:v>One unique PMID-linked reference</x:v>
      </x:c>
    </x:row>
    <x:row r="144">
      <x:c r="A144" s="20" t="str">
        <x:v>40065477</x:v>
      </x:c>
      <x:c r="B144" s="20" t="str">
        <x:v>PMID40065477</x:v>
      </x:c>
      <x:c r="C144" s="20" t="str">
        <x:v>Kaempferol; Luteolin; isorhamnetin</x:v>
      </x:c>
      <x:c r="D144" s="20" t="str">
        <x:v>Flavonoids</x:v>
      </x:c>
      <x:c r="E144" s="20" t="str">
        <x:v>Network pharmacological approach combined with weighted gene co-expression network analysis identifies CDKN2A as the keg target of Changweiqing against colorectal cancer.</x:v>
      </x:c>
      <x:c r="F144" s="20" t="str">
        <x:v>Network pharmacology/in silico evidence</x:v>
      </x:c>
      <x:c r="G144" s="20" t="str">
        <x:v>No</x:v>
      </x:c>
      <x:c r="H144" s="20" t="str">
        <x:v>No</x:v>
      </x:c>
      <x:c r="I144" s="20" t="str">
        <x:v>No</x:v>
      </x:c>
      <x:c r="J144" s="20" t="str">
        <x:v>No</x:v>
      </x:c>
      <x:c r="K144" s="20" t="str">
        <x:v>No</x:v>
      </x:c>
      <x:c r="L144" s="20" t="str">
        <x:v>No</x:v>
      </x:c>
      <x:c r="M144" s="20" t="str">
        <x:v>No</x:v>
      </x:c>
      <x:c r="N144" s="20" t="str">
        <x:v>No</x:v>
      </x:c>
      <x:c r="O144" s="20" t="str">
        <x:v>Yes</x:v>
      </x:c>
      <x:c r="P144" s="20" t="str">
        <x:v>No</x:v>
      </x:c>
      <x:c r="Q144" s="20" t="str">
        <x:v>生物信息学分析（WGCNA、PPI、分子对接）、公共数据库（TCGA、UALCAN等） | 计算模型：基于 TCMSP、SwissTargetPrediction、TCGA 等数据库的网络药理学与 WGCNA 分析</x:v>
      </x:c>
      <x:c r="R144" s="20" t="str">
        <x:v>not captured in source extraction</x:v>
      </x:c>
      <x:c r="S144" s="20" t="str">
        <x:v>Apoptosis/cell cycle; MAPK/JNK/ERK</x:v>
      </x:c>
      <x:c r="T144" s="20" t="str">
        <x:v>Hypothesis generation only unless supported by a separate direct record.</x:v>
      </x:c>
      <x:c r="U144" s="20" t="str">
        <x:v>2025</x:v>
      </x:c>
      <x:c r="V144" s="20" t="str">
        <x:v>2025/03/10</x:v>
      </x:c>
      <x:c r="W144" s="20" t="str">
        <x:v>Kaempferol; Luteolin; isorhamnetin</x:v>
      </x:c>
      <x:c r="X144" s="20" t="str">
        <x:v>肠胃清Changweiqing (CWQ)</x:v>
      </x:c>
      <x:c r="Y144" s="20" t="str">
        <x:v>Not established from this row alone</x:v>
      </x:c>
      <x:c r="Z144" s="20" t="str">
        <x:v>Dietary, generic botanical, or non-specific natural-product source</x:v>
      </x:c>
      <x:c r="AA144" s="20" t="str">
        <x:v>PMID 40065477; PMID40065477</x:v>
      </x:c>
      <x:c r="AB144" s="20" t="str">
        <x:v>Network pharmacology/in silico evidence</x:v>
      </x:c>
      <x:c r="AC144" s="20" t="str">
        <x:v>One unique PMID-linked reference</x:v>
      </x:c>
    </x:row>
    <x:row r="145">
      <x:c r="A145" s="20" t="str">
        <x:v>40091822</x:v>
      </x:c>
      <x:c r="B145" s="20" t="str">
        <x:v>PMID40091822</x:v>
      </x:c>
      <x:c r="C145" s="20" t="str">
        <x:v>Kaempferol</x:v>
      </x:c>
      <x:c r="D145" s="20" t="str">
        <x:v>Flavonoids</x:v>
      </x:c>
      <x:c r="E145" s="20" t="str">
        <x:v>Kaempferol Induces DNA Damage in Colorectal Cancer Cells by Regulating the MiR-195/miR-497-PFKFB4-Mediated Nonoxidative Pentose Phosphate Pathway.</x:v>
      </x:c>
      <x:c r="F145" s="20" t="str">
        <x:v>Cell-only isolated monomer evidence</x:v>
      </x:c>
      <x:c r="G145" s="20" t="str">
        <x:v>Yes</x:v>
      </x:c>
      <x:c r="H145" s="20" t="str">
        <x:v>No</x:v>
      </x:c>
      <x:c r="I145" s="20" t="str">
        <x:v>Yes</x:v>
      </x:c>
      <x:c r="J145" s="20" t="str">
        <x:v>No</x:v>
      </x:c>
      <x:c r="K145" s="20" t="str">
        <x:v>No</x:v>
      </x:c>
      <x:c r="L145" s="20" t="str">
        <x:v>Yes</x:v>
      </x:c>
      <x:c r="M145" s="20" t="str">
        <x:v>No</x:v>
      </x:c>
      <x:c r="N145" s="20" t="str">
        <x:v>No</x:v>
      </x:c>
      <x:c r="O145" s="20" t="str">
        <x:v>No</x:v>
      </x:c>
      <x:c r="P145" s="20" t="str">
        <x:v>No</x:v>
      </x:c>
      <x:c r="Q145" s="20" t="str">
        <x:v>结肠癌细胞</x:v>
      </x:c>
      <x:c r="R145" s="20" t="str">
        <x:v>not captured in source extraction</x:v>
      </x:c>
      <x:c r="S145" s="20" t="str">
        <x:v>Apoptosis/cell cycle; MAPK/JNK/ERK; PI3K/Akt/mTOR/metabolism; ROS/ferroptosis</x:v>
      </x:c>
      <x:c r="T145" s="20" t="str">
        <x:v>Direct mechanistic evidence requiring in vivo validation.</x:v>
      </x:c>
      <x:c r="U145" s="20" t="str">
        <x:v>2025</x:v>
      </x:c>
      <x:c r="V145" s="20" t="str">
        <x:v>2025/04/09</x:v>
      </x:c>
      <x:c r="W145" s="20" t="str">
        <x:v>Kaempferol</x:v>
      </x:c>
      <x:c r="X145" s="20" t="str">
        <x:v>蔬菜、水果和中药材</x:v>
      </x:c>
      <x:c r="Y145" s="20" t="str">
        <x:v>Source-dependent—named Chinese medicinal material or TCM preparation recorded</x:v>
      </x:c>
      <x:c r="Z145" s="20" t="str">
        <x:v>Requires source-level constituent verification for the specific record</x:v>
      </x:c>
      <x:c r="AA145" s="20" t="str">
        <x:v>PMID 40091822; PMID40091822</x:v>
      </x:c>
      <x:c r="AB145" s="20" t="str">
        <x:v>Purified isolated compound(s): Kaempferol</x:v>
      </x:c>
      <x:c r="AC145" s="20" t="str">
        <x:v>One unique PMID-linked reference</x:v>
      </x:c>
    </x:row>
    <x:row r="146">
      <x:c r="A146" s="20" t="str">
        <x:v>40149916</x:v>
      </x:c>
      <x:c r="B146" s="20" t="str">
        <x:v>PMID40149916</x:v>
      </x:c>
      <x:c r="C146" s="20" t="str">
        <x:v>Astragaloside IV; caffeic acid; sanguinarine</x:v>
      </x:c>
      <x:c r="D146" s="20" t="str">
        <x:v>Alkaloids; Phenolic acids; Triterpenoid saponins</x:v>
      </x:c>
      <x:c r="E146" s="20" t="str">
        <x:v>Interplay Between Traditional and Scientific Knowledge: Phytoconstituents and Their Roles in Lung and Colorectal Cancer Signaling Pathways.</x:v>
      </x:c>
      <x:c r="F146" s="20" t="str">
        <x:v>Review/background evidence</x:v>
      </x:c>
      <x:c r="G146" s="20" t="str">
        <x:v>No</x:v>
      </x:c>
      <x:c r="H146" s="20" t="str">
        <x:v>No</x:v>
      </x:c>
      <x:c r="I146" s="20" t="str">
        <x:v>No</x:v>
      </x:c>
      <x:c r="J146" s="20" t="str">
        <x:v>No</x:v>
      </x:c>
      <x:c r="K146" s="20" t="str">
        <x:v>No</x:v>
      </x:c>
      <x:c r="L146" s="20" t="str">
        <x:v>No</x:v>
      </x:c>
      <x:c r="M146" s="20" t="str">
        <x:v>No</x:v>
      </x:c>
      <x:c r="N146" s="20" t="str">
        <x:v>No</x:v>
      </x:c>
      <x:c r="O146" s="20" t="str">
        <x:v>No</x:v>
      </x:c>
      <x:c r="P146" s="20" t="str">
        <x:v>Yes</x:v>
      </x:c>
      <x:c r="Q146" s="20" t="str">
        <x:v>体外实验</x:v>
      </x:c>
      <x:c r="R146" s="20" t="str">
        <x:v>not captured in source extraction</x:v>
      </x:c>
      <x:c r="S146" s="20" t="str">
        <x:v>Apoptosis/cell cycle; EMT/ECM/metastasis; MAPK/JNK/ERK; PI3K/Akt/mTOR/metabolism; Wnt/beta-catenin/stemness</x:v>
      </x:c>
      <x:c r="T146" s="20" t="str">
        <x:v>Background synthesis only; not counted as new efficacy evidence.</x:v>
      </x:c>
      <x:c r="U146" s="20" t="str">
        <x:v>2025</x:v>
      </x:c>
      <x:c r="V146" s="20" t="str">
        <x:v>2025/03/05</x:v>
      </x:c>
      <x:c r="W146" s="20" t="str">
        <x:v>Astragaloside IV; caffeic acid; sanguinarine</x:v>
      </x:c>
      <x:c r="X146" s="20" t="str">
        <x:v>Echinacea purpurea; Sanguinaria canadensis（北美血根草）; 黄芪</x:v>
      </x:c>
      <x:c r="Y146" s="20" t="str">
        <x:v>No—direct Chinese materia medica association not established in supplied sources</x:v>
      </x:c>
      <x:c r="Z146" s="20" t="str">
        <x:v>Related natural-product evidence only</x:v>
      </x:c>
      <x:c r="AA146" s="20" t="str">
        <x:v>PMID 40149916; PMID40149916</x:v>
      </x:c>
      <x:c r="AB146" s="20" t="str">
        <x:v>Review/background evidence</x:v>
      </x:c>
      <x:c r="AC146" s="20" t="str">
        <x:v>One unique PMID-linked reference</x:v>
      </x:c>
    </x:row>
    <x:row r="147">
      <x:c r="A147" s="20" t="str">
        <x:v>40184790</x:v>
      </x:c>
      <x:c r="B147" s="20" t="str">
        <x:v>PMID40184790</x:v>
      </x:c>
      <x:c r="C147" s="20" t="str">
        <x:v>Formononetin</x:v>
      </x:c>
      <x:c r="D147" s="20" t="str">
        <x:v>Flavonoids</x:v>
      </x:c>
      <x:c r="E147" s="20" t="str">
        <x:v>Formononetin prevents intestinal injury caused by radiotherapy in colorectal cancer mice via the Keap1-Nrf2 signaling pathway.</x:v>
      </x:c>
      <x:c r="F147" s="20" t="str">
        <x:v>Animal-validated isolated monomer evidence</x:v>
      </x:c>
      <x:c r="G147" s="20" t="str">
        <x:v>Yes</x:v>
      </x:c>
      <x:c r="H147" s="20" t="str">
        <x:v>Yes</x:v>
      </x:c>
      <x:c r="I147" s="20" t="str">
        <x:v>No</x:v>
      </x:c>
      <x:c r="J147" s="20" t="str">
        <x:v>No</x:v>
      </x:c>
      <x:c r="K147" s="20" t="str">
        <x:v>No</x:v>
      </x:c>
      <x:c r="L147" s="20" t="str">
        <x:v>Yes</x:v>
      </x:c>
      <x:c r="M147" s="20" t="str">
        <x:v>No</x:v>
      </x:c>
      <x:c r="N147" s="20" t="str">
        <x:v>No</x:v>
      </x:c>
      <x:c r="O147" s="20" t="str">
        <x:v>No</x:v>
      </x:c>
      <x:c r="P147" s="20" t="str">
        <x:v>No</x:v>
      </x:c>
      <x:c r="Q147" s="20" t="str">
        <x:v>BABL/C 小鼠用 CT26 细胞构建结直肠癌模型</x:v>
      </x:c>
      <x:c r="R147" s="20" t="str">
        <x:v>not captured in source extraction</x:v>
      </x:c>
      <x:c r="S147" s="20" t="str">
        <x:v>Apoptosis/cell cycle; ROS/ferroptosis</x:v>
      </x:c>
      <x:c r="T147" s="20" t="str">
        <x:v>Direct isolated-monomer experiment with animal evidence verified from the local article record.</x:v>
      </x:c>
      <x:c r="U147" s="20" t="str">
        <x:v>2025</x:v>
      </x:c>
      <x:c r="V147" s="20" t="str">
        <x:v>2025/05/01</x:v>
      </x:c>
      <x:c r="W147" s="20" t="str">
        <x:v>Formononetin</x:v>
      </x:c>
      <x:c r="X147" s="20" t="str">
        <x:v>多种植物物种</x:v>
      </x:c>
      <x:c r="Y147" s="20" t="str">
        <x:v>Not established from supplied source field</x:v>
      </x:c>
      <x:c r="Z147" s="20" t="str">
        <x:v>Generic botanical, dietary, computational, or unspecified association</x:v>
      </x:c>
      <x:c r="AA147" s="20" t="str">
        <x:v>PMID 40184790; PMID40184790</x:v>
      </x:c>
      <x:c r="AB147" s="20" t="str">
        <x:v>Purified isolated compound(s): Formononetin</x:v>
      </x:c>
      <x:c r="AC147" s="20" t="str">
        <x:v>One unique PMID-linked reference</x:v>
      </x:c>
    </x:row>
    <x:row r="148">
      <x:c r="A148" s="20" t="str">
        <x:v>40242441</x:v>
      </x:c>
      <x:c r="B148" s="20" t="str">
        <x:v>PMID40242441</x:v>
      </x:c>
      <x:c r="C148" s="20" t="str">
        <x:v>silibinin</x:v>
      </x:c>
      <x:c r="D148" s="20" t="str">
        <x:v>Flavonoids</x:v>
      </x:c>
      <x:c r="E148" s="20" t="str">
        <x:v>Therapeutic potential and mechanistic insights of silibinin targeting cancer-associated fibroblasts in colorectal cancer.</x:v>
      </x:c>
      <x:c r="F148" s="20" t="str">
        <x:v>Animal-validated isolated monomer evidence</x:v>
      </x:c>
      <x:c r="G148" s="20" t="str">
        <x:v>Yes</x:v>
      </x:c>
      <x:c r="H148" s="20" t="str">
        <x:v>Yes</x:v>
      </x:c>
      <x:c r="I148" s="20" t="str">
        <x:v>No</x:v>
      </x:c>
      <x:c r="J148" s="20" t="str">
        <x:v>No</x:v>
      </x:c>
      <x:c r="K148" s="20" t="str">
        <x:v>No</x:v>
      </x:c>
      <x:c r="L148" s="20" t="str">
        <x:v>No</x:v>
      </x:c>
      <x:c r="M148" s="20" t="str">
        <x:v>No</x:v>
      </x:c>
      <x:c r="N148" s="20" t="str">
        <x:v>No</x:v>
      </x:c>
      <x:c r="O148" s="20" t="str">
        <x:v>No</x:v>
      </x:c>
      <x:c r="P148" s="20" t="str">
        <x:v>No</x:v>
      </x:c>
      <x:c r="Q148" s="20" t="str">
        <x:v>AOM/DSS 小鼠模型 + CCD-18Co/SW480/RKO 细胞共培养</x:v>
      </x:c>
      <x:c r="R148" s="20" t="str">
        <x:v>not captured in source extraction</x:v>
      </x:c>
      <x:c r="S148" s="20" t="str">
        <x:v>EMT/ECM/metastasis</x:v>
      </x:c>
      <x:c r="T148" s="20" t="str">
        <x:v>Direct isolated-monomer experiment with animal evidence verified from the local article record.</x:v>
      </x:c>
      <x:c r="U148" s="20" t="str">
        <x:v>2025</x:v>
      </x:c>
      <x:c r="V148" s="20" t="str">
        <x:v>2025/04/02</x:v>
      </x:c>
      <x:c r="W148" s="20" t="str">
        <x:v>silibinin</x:v>
      </x:c>
      <x:c r="X148" s="20" t="str">
        <x:v>水飞蓟</x:v>
      </x:c>
      <x:c r="Y148" s="20" t="str">
        <x:v>Not established from supplied source field</x:v>
      </x:c>
      <x:c r="Z148" s="20" t="str">
        <x:v>Generic botanical, dietary, computational, or unspecified association</x:v>
      </x:c>
      <x:c r="AA148" s="20" t="str">
        <x:v>PMID 40242441; PMID40242441</x:v>
      </x:c>
      <x:c r="AB148" s="20" t="str">
        <x:v>Purified isolated compound(s): silibinin</x:v>
      </x:c>
      <x:c r="AC148" s="20" t="str">
        <x:v>One unique PMID-linked reference</x:v>
      </x:c>
    </x:row>
    <x:row r="149">
      <x:c r="A149" s="20" t="str">
        <x:v>40255473</x:v>
      </x:c>
      <x:c r="B149" s="20" t="str">
        <x:v>PMID40255473</x:v>
      </x:c>
      <x:c r="C149" s="20" t="str">
        <x:v>Tanshinone IIA</x:v>
      </x:c>
      <x:c r="D149" s="20" t="str">
        <x:v>Diterpenoid quinones</x:v>
      </x:c>
      <x:c r="E149" s="20" t="str">
        <x:v>Network Pharmacology, Molecular Docking, and in vitro Experiments Reveal the Role and Mechanism of Tanshinone IIA in Colorectal Cancer Treatment Through the PI3K/AKT Pathway.</x:v>
      </x:c>
      <x:c r="F149" s="20" t="str">
        <x:v>Cell-only isolated monomer evidence</x:v>
      </x:c>
      <x:c r="G149" s="20" t="str">
        <x:v>Yes</x:v>
      </x:c>
      <x:c r="H149" s="20" t="str">
        <x:v>No</x:v>
      </x:c>
      <x:c r="I149" s="20" t="str">
        <x:v>Yes</x:v>
      </x:c>
      <x:c r="J149" s="20" t="str">
        <x:v>No</x:v>
      </x:c>
      <x:c r="K149" s="20" t="str">
        <x:v>No</x:v>
      </x:c>
      <x:c r="L149" s="20" t="str">
        <x:v>No</x:v>
      </x:c>
      <x:c r="M149" s="20" t="str">
        <x:v>No</x:v>
      </x:c>
      <x:c r="N149" s="20" t="str">
        <x:v>No</x:v>
      </x:c>
      <x:c r="O149" s="20" t="str">
        <x:v>Yes</x:v>
      </x:c>
      <x:c r="P149" s="20" t="str">
        <x:v>No</x:v>
      </x:c>
      <x:c r="Q149" s="20" t="str">
        <x:v>HCT116 和 SW480 结直肠癌细胞系（体外）</x:v>
      </x:c>
      <x:c r="R149" s="20" t="str">
        <x:v>not captured in source extraction</x:v>
      </x:c>
      <x:c r="S149" s="20" t="str">
        <x:v>Apoptosis/cell cycle; EMT/ECM/metastasis; PI3K/Akt/mTOR/metabolism</x:v>
      </x:c>
      <x:c r="T149" s="20" t="str">
        <x:v>Direct experimental component only; Tanshinone IIA was directly tested in HCT116 and SW480 cells with pathway-agonist reversal; network/docking components remain hypothesis-generating.</x:v>
      </x:c>
      <x:c r="U149" s="20" t="str">
        <x:v>2025</x:v>
      </x:c>
      <x:c r="V149" s="20" t="str">
        <x:v>2025/04/16</x:v>
      </x:c>
      <x:c r="W149" s="20" t="str">
        <x:v>Tanshinone IIA</x:v>
      </x:c>
      <x:c r="X149" s="20" t="str">
        <x:v>丹参</x:v>
      </x:c>
      <x:c r="Y149" s="20" t="str">
        <x:v>Yes—directly traceable in supplied records</x:v>
      </x:c>
      <x:c r="Z149" s="20" t="str">
        <x:v>Constituent of Danshen (Salvia miltiorrhiza)</x:v>
      </x:c>
      <x:c r="AA149" s="20" t="str">
        <x:v>PMID 40255473; PMID40255473</x:v>
      </x:c>
      <x:c r="AB149" s="20" t="str">
        <x:v>Purified isolated compound(s): Tanshinone IIA</x:v>
      </x:c>
      <x:c r="AC149" s="20" t="str">
        <x:v>One unique PMID-linked reference</x:v>
      </x:c>
    </x:row>
    <x:row r="150">
      <x:c r="A150" s="20" t="str">
        <x:v>40308773</x:v>
      </x:c>
      <x:c r="B150" s="20" t="str">
        <x:v>PMID40308773</x:v>
      </x:c>
      <x:c r="C150" s="20" t="str">
        <x:v>myricetin</x:v>
      </x:c>
      <x:c r="D150" s="20" t="str">
        <x:v>Flavonoids</x:v>
      </x:c>
      <x:c r="E150" s="20" t="str">
        <x:v>The Wnt/beta-catenin signaling pathway in colorectal cancer: mechanism and intervention of traditional Chinese medicine and chemical compound.</x:v>
      </x:c>
      <x:c r="F150" s="20" t="str">
        <x:v>Review/background evidence</x:v>
      </x:c>
      <x:c r="G150" s="20" t="str">
        <x:v>No</x:v>
      </x:c>
      <x:c r="H150" s="20" t="str">
        <x:v>No</x:v>
      </x:c>
      <x:c r="I150" s="20" t="str">
        <x:v>No</x:v>
      </x:c>
      <x:c r="J150" s="20" t="str">
        <x:v>No</x:v>
      </x:c>
      <x:c r="K150" s="20" t="str">
        <x:v>No</x:v>
      </x:c>
      <x:c r="L150" s="20" t="str">
        <x:v>No</x:v>
      </x:c>
      <x:c r="M150" s="20" t="str">
        <x:v>No</x:v>
      </x:c>
      <x:c r="N150" s="20" t="str">
        <x:v>No</x:v>
      </x:c>
      <x:c r="O150" s="20" t="str">
        <x:v>No</x:v>
      </x:c>
      <x:c r="P150" s="20" t="str">
        <x:v>Yes</x:v>
      </x:c>
      <x:c r="Q150" s="20" t="str">
        <x:v>CRC 细胞系及动物模型</x:v>
      </x:c>
      <x:c r="R150" s="20" t="str">
        <x:v>not captured in source extraction</x:v>
      </x:c>
      <x:c r="S150" s="20" t="str">
        <x:v>EMT/ECM/metastasis; Wnt/beta-catenin/stemness</x:v>
      </x:c>
      <x:c r="T150" s="20" t="str">
        <x:v>Background synthesis only; not counted as new efficacy evidence.</x:v>
      </x:c>
      <x:c r="U150" s="20" t="str">
        <x:v>2025</x:v>
      </x:c>
      <x:c r="V150" s="20" t="str">
        <x:v>2025/04/10</x:v>
      </x:c>
      <x:c r="W150" s="20" t="str">
        <x:v>myricetin</x:v>
      </x:c>
      <x:c r="X150" s="20" t="str">
        <x:v>杨梅果实</x:v>
      </x:c>
      <x:c r="Y150" s="20" t="str">
        <x:v>Not established from supplied source field</x:v>
      </x:c>
      <x:c r="Z150" s="20" t="str">
        <x:v>Generic botanical, dietary, computational, or unspecified association</x:v>
      </x:c>
      <x:c r="AA150" s="20" t="str">
        <x:v>PMID 40308773; PMID40308773</x:v>
      </x:c>
      <x:c r="AB150" s="20" t="str">
        <x:v>Review/background evidence</x:v>
      </x:c>
      <x:c r="AC150" s="20" t="str">
        <x:v>One unique PMID-linked reference</x:v>
      </x:c>
    </x:row>
    <x:row r="151">
      <x:c r="A151" s="20" t="str">
        <x:v>40318528</x:v>
      </x:c>
      <x:c r="B151" s="20" t="str">
        <x:v>PMID40318528</x:v>
      </x:c>
      <x:c r="C151" s="20" t="str">
        <x:v>Formononetin</x:v>
      </x:c>
      <x:c r="D151" s="20" t="str">
        <x:v>Flavonoids</x:v>
      </x:c>
      <x:c r="E151" s="20" t="str">
        <x:v>Formononetin suppresses colitis-associated colon cancer by targeting lipid synthesis and mTORC2/Akt signaling.</x:v>
      </x:c>
      <x:c r="F151" s="20" t="str">
        <x:v>Animal-validated isolated monomer evidence</x:v>
      </x:c>
      <x:c r="G151" s="20" t="str">
        <x:v>Yes</x:v>
      </x:c>
      <x:c r="H151" s="20" t="str">
        <x:v>Yes</x:v>
      </x:c>
      <x:c r="I151" s="20" t="str">
        <x:v>No</x:v>
      </x:c>
      <x:c r="J151" s="20" t="str">
        <x:v>No</x:v>
      </x:c>
      <x:c r="K151" s="20" t="str">
        <x:v>Yes</x:v>
      </x:c>
      <x:c r="L151" s="20" t="str">
        <x:v>No</x:v>
      </x:c>
      <x:c r="M151" s="20" t="str">
        <x:v>No</x:v>
      </x:c>
      <x:c r="N151" s="20" t="str">
        <x:v>No</x:v>
      </x:c>
      <x:c r="O151" s="20" t="str">
        <x:v>No</x:v>
      </x:c>
      <x:c r="P151" s="20" t="str">
        <x:v>No</x:v>
      </x:c>
      <x:c r="Q151" s="20" t="str">
        <x:v>小鼠巨噬细胞 RAW264.7
小鼠结肠癌细胞 CT-26
人结肠癌细胞 HCT116</x:v>
      </x:c>
      <x:c r="R151" s="20" t="str">
        <x:v>not captured in source extraction</x:v>
      </x:c>
      <x:c r="S151" s="20" t="str">
        <x:v>Apoptosis/cell cycle; Immune microenvironment; MAPK/JNK/ERK; NF-kB/STAT3/inflammation; PI3K/Akt/mTOR/metabolism</x:v>
      </x:c>
      <x:c r="T151" s="20" t="str">
        <x:v>Direct isolated-monomer experiment with animal evidence verified from the local article record.</x:v>
      </x:c>
      <x:c r="U151" s="20" t="str">
        <x:v>2025</x:v>
      </x:c>
      <x:c r="V151" s="20" t="str">
        <x:v>2025/07/01</x:v>
      </x:c>
      <x:c r="W151" s="20" t="str">
        <x:v>Formononetin</x:v>
      </x:c>
      <x:c r="X151" s="20" t="str">
        <x:v>豆类和三叶草物种，例如红车轴草、鹰嘴豆、大豆、苦参和膜荚黄芪。egumes and clover species such as Trifolium pra-tense L., Cicer arietinum L., Glycine max (L.) Merr., Sophora flavescens
Aiton, and Astragalus membranaceus (Fisch.) Bunge (Singh et al., 2024）</x:v>
      </x:c>
      <x:c r="Y151" s="20" t="str">
        <x:v>Potentially traceable—named Chinese medicinal material recorded</x:v>
      </x:c>
      <x:c r="Z151" s="20" t="str">
        <x:v>Named medicinal material in source extraction; author verification required</x:v>
      </x:c>
      <x:c r="AA151" s="20" t="str">
        <x:v>PMID 40318528; PMID40318528</x:v>
      </x:c>
      <x:c r="AB151" s="20" t="str">
        <x:v>Purified isolated compound(s): Formononetin</x:v>
      </x:c>
      <x:c r="AC151" s="20" t="str">
        <x:v>One unique PMID-linked reference</x:v>
      </x:c>
    </x:row>
    <x:row r="152">
      <x:c r="A152" s="20" t="str">
        <x:v>40324811</x:v>
      </x:c>
      <x:c r="B152" s="20" t="str">
        <x:v>PMID40324811</x:v>
      </x:c>
      <x:c r="C152" s="20" t="str">
        <x:v>Kaempferol; Luteolin</x:v>
      </x:c>
      <x:c r="D152" s="20" t="str">
        <x:v>Flavonoids</x:v>
      </x:c>
      <x:c r="E152" s="20" t="str">
        <x:v>Exploring the Anticancer Effects of Xianliu Jieduan Fang on Colitis-Associated Colorectal Cancer Through Network Pharmacology and Experimental Validation.</x:v>
      </x:c>
      <x:c r="F152" s="20" t="str">
        <x:v>Network pharmacology/in silico evidence</x:v>
      </x:c>
      <x:c r="G152" s="20" t="str">
        <x:v>No</x:v>
      </x:c>
      <x:c r="H152" s="20" t="str">
        <x:v>No</x:v>
      </x:c>
      <x:c r="I152" s="20" t="str">
        <x:v>No</x:v>
      </x:c>
      <x:c r="J152" s="20" t="str">
        <x:v>No</x:v>
      </x:c>
      <x:c r="K152" s="20" t="str">
        <x:v>No</x:v>
      </x:c>
      <x:c r="L152" s="20" t="str">
        <x:v>No</x:v>
      </x:c>
      <x:c r="M152" s="20" t="str">
        <x:v>No</x:v>
      </x:c>
      <x:c r="N152" s="20" t="str">
        <x:v>No</x:v>
      </x:c>
      <x:c r="O152" s="20" t="str">
        <x:v>Yes</x:v>
      </x:c>
      <x:c r="P152" s="20" t="str">
        <x:v>No</x:v>
      </x:c>
      <x:c r="Q152" s="20" t="str">
        <x:v>AOM/DSS 诱导的 CAC 小鼠模型 | 体内模型：AOM/DSS 诱导的结肠炎相关结直肠癌（CAC）</x:v>
      </x:c>
      <x:c r="R152" s="20" t="str">
        <x:v>not captured in source extraction</x:v>
      </x:c>
      <x:c r="S152" s="20" t="str">
        <x:v>Apoptosis/cell cycle; EMT/ECM/metastasis; PI3K/Akt/mTOR/metabolism; Wnt/beta-catenin/stemness</x:v>
      </x:c>
      <x:c r="T152" s="20" t="str">
        <x:v>Hypothesis generation only unless supported by a separate direct record.</x:v>
      </x:c>
      <x:c r="U152" s="20" t="str">
        <x:v>2025</x:v>
      </x:c>
      <x:c r="V152" s="20" t="str">
        <x:v>2025/06/01</x:v>
      </x:c>
      <x:c r="W152" s="20" t="str">
        <x:v>Kaempferol; Luteolin</x:v>
      </x:c>
      <x:c r="X152" s="20" t="str">
        <x:v>Xianliu Jieduan Fang; 仙流阶段方Xianliu Jieduan Fang (XLJDF)</x:v>
      </x:c>
      <x:c r="Y152" s="20" t="str">
        <x:v>Source-dependent—named Chinese medicinal material or TCM preparation recorded</x:v>
      </x:c>
      <x:c r="Z152" s="20" t="str">
        <x:v>Requires source-level constituent verification for the specific record</x:v>
      </x:c>
      <x:c r="AA152" s="20" t="str">
        <x:v>PMID 40324811; PMID40324811</x:v>
      </x:c>
      <x:c r="AB152" s="20" t="str">
        <x:v>Network pharmacology/in silico evidence</x:v>
      </x:c>
      <x:c r="AC152" s="20" t="str">
        <x:v>One unique PMID-linked reference</x:v>
      </x:c>
    </x:row>
    <x:row r="153">
      <x:c r="A153" s="20" t="str">
        <x:v>40403808</x:v>
      </x:c>
      <x:c r="B153" s="20" t="str">
        <x:v>PMID40403808</x:v>
      </x:c>
      <x:c r="C153" s="20" t="str">
        <x:v>ellagic acid</x:v>
      </x:c>
      <x:c r="D153" s="20" t="str">
        <x:v>Polyphenols</x:v>
      </x:c>
      <x:c r="E153" s="20" t="str">
        <x:v>A functionalized lignin dual network nanoplatform for enhanced cancer therapy by triggering reactive oxygen species self-circulation.</x:v>
      </x:c>
      <x:c r="F153" s="20" t="str">
        <x:v>Formulation/nanodelivery contextual evidence</x:v>
      </x:c>
      <x:c r="G153" s="20" t="str">
        <x:v>No</x:v>
      </x:c>
      <x:c r="H153" s="20" t="str">
        <x:v>No</x:v>
      </x:c>
      <x:c r="I153" s="20" t="str">
        <x:v>No</x:v>
      </x:c>
      <x:c r="J153" s="20" t="str">
        <x:v>No</x:v>
      </x:c>
      <x:c r="K153" s="20" t="str">
        <x:v>No</x:v>
      </x:c>
      <x:c r="L153" s="20" t="str">
        <x:v>Yes</x:v>
      </x:c>
      <x:c r="M153" s="20" t="str">
        <x:v>Yes</x:v>
      </x:c>
      <x:c r="N153" s="20" t="str">
        <x:v>No</x:v>
      </x:c>
      <x:c r="O153" s="20" t="str">
        <x:v>No</x:v>
      </x:c>
      <x:c r="P153" s="20" t="str">
        <x:v>No</x:v>
      </x:c>
      <x:c r="Q153" s="20" t="str">
        <x:v>体外细胞实验和体内小鼠模型，研究对象为结肠癌</x:v>
      </x:c>
      <x:c r="R153" s="20" t="str">
        <x:v>not captured in source extraction</x:v>
      </x:c>
      <x:c r="S153" s="20" t="str">
        <x:v>Apoptosis/cell cycle; ROS/ferroptosis</x:v>
      </x:c>
      <x:c r="T153" s="20" t="str">
        <x:v>Context only; the delivery system cannot be attributed to isolated monomer activity.</x:v>
      </x:c>
      <x:c r="U153" s="20" t="str">
        <x:v>2025</x:v>
      </x:c>
      <x:c r="V153" s="20" t="str">
        <x:v>2025/06/01</x:v>
      </x:c>
      <x:c r="W153" s="20" t="str">
        <x:v>ellagic acid</x:v>
      </x:c>
      <x:c r="X153" s="20" t="str">
        <x:v>not reported</x:v>
      </x:c>
      <x:c r="Y153" s="20" t="str">
        <x:v>Not established from supplied source field</x:v>
      </x:c>
      <x:c r="Z153" s="20" t="str">
        <x:v>Generic botanical, dietary, computational, or unspecified association</x:v>
      </x:c>
      <x:c r="AA153" s="20" t="str">
        <x:v>PMID 40403808; PMID40403808</x:v>
      </x:c>
      <x:c r="AB153" s="20" t="str">
        <x:v>Formulation/nanodelivery contextual evidence</x:v>
      </x:c>
      <x:c r="AC153" s="20" t="str">
        <x:v>One unique PMID-linked reference</x:v>
      </x:c>
    </x:row>
    <x:row r="154">
      <x:c r="A154" s="20" t="str">
        <x:v>40469706</x:v>
      </x:c>
      <x:c r="B154" s="20" t="str">
        <x:v>PMID40469706</x:v>
      </x:c>
      <x:c r="C154" s="20" t="str">
        <x:v>rhein</x:v>
      </x:c>
      <x:c r="D154" s="20" t="str">
        <x:v>Anthraquinones</x:v>
      </x:c>
      <x:c r="E154" s="20" t="str">
        <x:v>Rhein-induced apoptosis in colorectal cancer cell lines: A mechanistic study of the myeloid differentiation primary response gene 88/toll-like receptor 4/nuclear factor kappa-B signaling pathway.</x:v>
      </x:c>
      <x:c r="F154" s="20" t="str">
        <x:v>Cell-only isolated monomer evidence</x:v>
      </x:c>
      <x:c r="G154" s="20" t="str">
        <x:v>Yes</x:v>
      </x:c>
      <x:c r="H154" s="20" t="str">
        <x:v>No</x:v>
      </x:c>
      <x:c r="I154" s="20" t="str">
        <x:v>Yes</x:v>
      </x:c>
      <x:c r="J154" s="20" t="str">
        <x:v>No</x:v>
      </x:c>
      <x:c r="K154" s="20" t="str">
        <x:v>No</x:v>
      </x:c>
      <x:c r="L154" s="20" t="str">
        <x:v>No</x:v>
      </x:c>
      <x:c r="M154" s="20" t="str">
        <x:v>No</x:v>
      </x:c>
      <x:c r="N154" s="20" t="str">
        <x:v>No</x:v>
      </x:c>
      <x:c r="O154" s="20" t="str">
        <x:v>No</x:v>
      </x:c>
      <x:c r="P154" s="20" t="str">
        <x:v>No</x:v>
      </x:c>
      <x:c r="Q154" s="20" t="str">
        <x:v>体外细胞模型
1 HT-29 人结直肠癌细胞系 批号 CL-0118
2 SW480 人结直肠癌细胞系 批号 CL-0223B</x:v>
      </x:c>
      <x:c r="R154" s="20" t="str">
        <x:v>Rhein 10, 20, and 50 µM in HT-29 and SW480 cells</x:v>
      </x:c>
      <x:c r="S154" s="20" t="str">
        <x:v>Apoptosis/cell cycle; EMT/ECM/metastasis; NF-kB/STAT3/inflammation</x:v>
      </x:c>
      <x:c r="T154" s="20" t="str">
        <x:v>Direct mechanistic evidence requiring in vivo validation.</x:v>
      </x:c>
      <x:c r="U154" s="20" t="str">
        <x:v>2025</x:v>
      </x:c>
      <x:c r="V154" s="20" t="str">
        <x:v>2025/04/01</x:v>
      </x:c>
      <x:c r="W154" s="20" t="str">
        <x:v>rhein</x:v>
      </x:c>
      <x:c r="X154" s="20" t="str">
        <x:v>大黄</x:v>
      </x:c>
      <x:c r="Y154" s="20" t="str">
        <x:v>Not established from supplied source field</x:v>
      </x:c>
      <x:c r="Z154" s="20" t="str">
        <x:v>Generic botanical, dietary, computational, or unspecified association</x:v>
      </x:c>
      <x:c r="AA154" s="20" t="str">
        <x:v>PMID 40469706; PMID40469706</x:v>
      </x:c>
      <x:c r="AB154" s="20" t="str">
        <x:v>Purified isolated compound(s): rhein</x:v>
      </x:c>
      <x:c r="AC154" s="20" t="str">
        <x:v>One unique PMID-linked reference</x:v>
      </x:c>
    </x:row>
    <x:row r="155">
      <x:c r="A155" s="20" t="str">
        <x:v>40488304</x:v>
      </x:c>
      <x:c r="B155" s="20" t="str">
        <x:v>PMID40488304</x:v>
      </x:c>
      <x:c r="C155" s="20" t="str">
        <x:v>Kaempferol; Luteolin; Tanshinone IIA</x:v>
      </x:c>
      <x:c r="D155" s="20" t="str">
        <x:v>Diterpenoid quinones; Flavonoids</x:v>
      </x:c>
      <x:c r="E155" s="20" t="str">
        <x:v>Herbal Medicine for Colorectal Cancer Treatment: Molecular Mechanisms and Clinical Applications.</x:v>
      </x:c>
      <x:c r="F155" s="20" t="str">
        <x:v>Review/background evidence</x:v>
      </x:c>
      <x:c r="G155" s="20" t="str">
        <x:v>No</x:v>
      </x:c>
      <x:c r="H155" s="20" t="str">
        <x:v>No</x:v>
      </x:c>
      <x:c r="I155" s="20" t="str">
        <x:v>No</x:v>
      </x:c>
      <x:c r="J155" s="20" t="str">
        <x:v>No</x:v>
      </x:c>
      <x:c r="K155" s="20" t="str">
        <x:v>No</x:v>
      </x:c>
      <x:c r="L155" s="20" t="str">
        <x:v>Yes</x:v>
      </x:c>
      <x:c r="M155" s="20" t="str">
        <x:v>No</x:v>
      </x:c>
      <x:c r="N155" s="20" t="str">
        <x:v>No</x:v>
      </x:c>
      <x:c r="O155" s="20" t="str">
        <x:v>No</x:v>
      </x:c>
      <x:c r="P155" s="20" t="str">
        <x:v>Yes</x:v>
      </x:c>
      <x:c r="Q155" s="20" t="str">
        <x:v>引用
细胞系：HCT116、HT-29、SW480 等人结直肠癌细胞
动物模型：裸鼠异种移植瘤模型 | 人结肠癌细胞 | 人结直肠癌细胞系</x:v>
      </x:c>
      <x:c r="R155" s="20" t="str">
        <x:v>not captured in source extraction</x:v>
      </x:c>
      <x:c r="S155" s="20" t="str">
        <x:v>Apoptosis/cell cycle; EMT/ECM/metastasis; MAPK/JNK/ERK; NF-kB/STAT3/inflammation; PI3K/Akt/mTOR/metabolism; ROS/ferroptosis</x:v>
      </x:c>
      <x:c r="T155" s="20" t="str">
        <x:v>Background synthesis only; not counted as new efficacy evidence.</x:v>
      </x:c>
      <x:c r="U155" s="20" t="str">
        <x:v>2025</x:v>
      </x:c>
      <x:c r="V155" s="20" t="str">
        <x:v>2025/10/01</x:v>
      </x:c>
      <x:c r="W155" s="20" t="str">
        <x:v>Kaempferol; Luteolin; Tanshinone IIA</x:v>
      </x:c>
      <x:c r="X155" s="20" t="str">
        <x:v>丹参; 植物药物</x:v>
      </x:c>
      <x:c r="Y155" s="20" t="str">
        <x:v>Yes—directly traceable in supplied records</x:v>
      </x:c>
      <x:c r="Z155" s="20" t="str">
        <x:v>Constituent of Danshen (Salvia miltiorrhiza)</x:v>
      </x:c>
      <x:c r="AA155" s="20" t="str">
        <x:v>PMID 40488304; PMID40488304</x:v>
      </x:c>
      <x:c r="AB155" s="20" t="str">
        <x:v>Review/background evidence</x:v>
      </x:c>
      <x:c r="AC155" s="20" t="str">
        <x:v>One unique PMID-linked reference</x:v>
      </x:c>
    </x:row>
    <x:row r="156">
      <x:c r="A156" s="20" t="str">
        <x:v>40603959</x:v>
      </x:c>
      <x:c r="B156" s="20" t="str">
        <x:v>PMID40603959</x:v>
      </x:c>
      <x:c r="C156" s="20" t="str">
        <x:v>Stigmasterol</x:v>
      </x:c>
      <x:c r="D156" s="20" t="str">
        <x:v>Phytosterols</x:v>
      </x:c>
      <x:c r="E156" s="20" t="str">
        <x:v>The mechanism of Shancigu and its monomer in the development of colorectal cancer based on network pharmacology.</x:v>
      </x:c>
      <x:c r="F156" s="20" t="str">
        <x:v>Extract/formula/decoction contextual evidence</x:v>
      </x:c>
      <x:c r="G156" s="20" t="str">
        <x:v>No</x:v>
      </x:c>
      <x:c r="H156" s="20" t="str">
        <x:v>No</x:v>
      </x:c>
      <x:c r="I156" s="20" t="str">
        <x:v>No</x:v>
      </x:c>
      <x:c r="J156" s="20" t="str">
        <x:v>No</x:v>
      </x:c>
      <x:c r="K156" s="20" t="str">
        <x:v>No</x:v>
      </x:c>
      <x:c r="L156" s="20" t="str">
        <x:v>No</x:v>
      </x:c>
      <x:c r="M156" s="20" t="str">
        <x:v>No</x:v>
      </x:c>
      <x:c r="N156" s="20" t="str">
        <x:v>Yes</x:v>
      </x:c>
      <x:c r="O156" s="20" t="str">
        <x:v>Yes</x:v>
      </x:c>
      <x:c r="P156" s="20" t="str">
        <x:v>No</x:v>
      </x:c>
      <x:c r="Q156" s="20" t="str">
        <x:v>人结直肠癌细胞系：HCT116 和 Caco-2
、CRC 类器官</x:v>
      </x:c>
      <x:c r="R156" s="20" t="str">
        <x:v>not captured in source extraction</x:v>
      </x:c>
      <x:c r="S156" s="20" t="str">
        <x:v>Apoptosis/cell cycle; EMT/ECM/metastasis</x:v>
      </x:c>
      <x:c r="T156" s="20" t="str">
        <x:v>Context only; preparation effects are not assigned to an isolated monomer.</x:v>
      </x:c>
      <x:c r="U156" s="20" t="str">
        <x:v>2025</x:v>
      </x:c>
      <x:c r="V156" s="20" t="str">
        <x:v>2025/07/02</x:v>
      </x:c>
      <x:c r="W156" s="20" t="str">
        <x:v>Stigmasterol</x:v>
      </x:c>
      <x:c r="X156" s="20" t="str">
        <x:v>山慈菇Shancigu</x:v>
      </x:c>
      <x:c r="Y156" s="20" t="str">
        <x:v>Not established from supplied source field</x:v>
      </x:c>
      <x:c r="Z156" s="20" t="str">
        <x:v>Generic botanical, dietary, computational, or unspecified association</x:v>
      </x:c>
      <x:c r="AA156" s="20" t="str">
        <x:v>PMID 40603959; PMID40603959</x:v>
      </x:c>
      <x:c r="AB156" s="20" t="str">
        <x:v>Extract/formula/decoction contextual evidence</x:v>
      </x:c>
      <x:c r="AC156" s="20" t="str">
        <x:v>One unique PMID-linked reference</x:v>
      </x:c>
    </x:row>
    <x:row r="157">
      <x:c r="A157" s="20" t="str">
        <x:v>40618168</x:v>
      </x:c>
      <x:c r="B157" s="20" t="str">
        <x:v>PMID40618168</x:v>
      </x:c>
      <x:c r="C157" s="20" t="str">
        <x:v>Tanshinone IIA</x:v>
      </x:c>
      <x:c r="D157" s="20" t="str">
        <x:v>Diterpenoid quinones</x:v>
      </x:c>
      <x:c r="E157" s="20" t="str">
        <x:v>Tanshinone IIA induces ferroptosis in colorectal cancer cells through the suppression of SLC7A11 expression via the PI3K/AKT/mTOR pathway.</x:v>
      </x:c>
      <x:c r="F157" s="20" t="str">
        <x:v>Animal-validated isolated monomer evidence</x:v>
      </x:c>
      <x:c r="G157" s="20" t="str">
        <x:v>Yes</x:v>
      </x:c>
      <x:c r="H157" s="20" t="str">
        <x:v>Yes</x:v>
      </x:c>
      <x:c r="I157" s="20" t="str">
        <x:v>No</x:v>
      </x:c>
      <x:c r="J157" s="20" t="str">
        <x:v>No</x:v>
      </x:c>
      <x:c r="K157" s="20" t="str">
        <x:v>No</x:v>
      </x:c>
      <x:c r="L157" s="20" t="str">
        <x:v>Yes</x:v>
      </x:c>
      <x:c r="M157" s="20" t="str">
        <x:v>No</x:v>
      </x:c>
      <x:c r="N157" s="20" t="str">
        <x:v>No</x:v>
      </x:c>
      <x:c r="O157" s="20" t="str">
        <x:v>No</x:v>
      </x:c>
      <x:c r="P157" s="20" t="str">
        <x:v>No</x:v>
      </x:c>
      <x:c r="Q157" s="20" t="str">
        <x:v>体外模型：人结直肠癌细胞系 OUMS23 细胞
体内模型：结直肠癌皮下移植瘤小鼠模型</x:v>
      </x:c>
      <x:c r="R157" s="20" t="str">
        <x:v>not captured in source extraction</x:v>
      </x:c>
      <x:c r="S157" s="20" t="str">
        <x:v>Apoptosis/cell cycle; PI3K/Akt/mTOR/metabolism; ROS/ferroptosis</x:v>
      </x:c>
      <x:c r="T157" s="20" t="str">
        <x:v>High-information direct preclinical evidence.</x:v>
      </x:c>
      <x:c r="U157" s="20" t="str">
        <x:v>2025</x:v>
      </x:c>
      <x:c r="V157" s="20" t="str">
        <x:v>2025/07/05</x:v>
      </x:c>
      <x:c r="W157" s="20" t="str">
        <x:v>Tanshinone IIA</x:v>
      </x:c>
      <x:c r="X157" s="20" t="str">
        <x:v>丹参</x:v>
      </x:c>
      <x:c r="Y157" s="20" t="str">
        <x:v>Yes—directly traceable in supplied records</x:v>
      </x:c>
      <x:c r="Z157" s="20" t="str">
        <x:v>Constituent of Danshen (Salvia miltiorrhiza)</x:v>
      </x:c>
      <x:c r="AA157" s="20" t="str">
        <x:v>PMID 40618168; PMID40618168</x:v>
      </x:c>
      <x:c r="AB157" s="20" t="str">
        <x:v>Purified isolated compound(s): Tanshinone IIA</x:v>
      </x:c>
      <x:c r="AC157" s="20" t="str">
        <x:v>One unique PMID-linked reference</x:v>
      </x:c>
    </x:row>
    <x:row r="158">
      <x:c r="A158" s="20" t="str">
        <x:v>40627904</x:v>
      </x:c>
      <x:c r="B158" s="20" t="str">
        <x:v>PMID40627904</x:v>
      </x:c>
      <x:c r="C158" s="20" t="str">
        <x:v>caffeic acid</x:v>
      </x:c>
      <x:c r="D158" s="20" t="str">
        <x:v>Phenolic acids</x:v>
      </x:c>
      <x:c r="E158" s="20" t="str">
        <x:v>Caffeic acid and 5-caffeoylquinic acid inhibit HT-29 colorectal cancer cell growth through immunotherapy by inducing the Bax/Bcl-2 apoptotic pathway in vitro.</x:v>
      </x:c>
      <x:c r="F158" s="20" t="str">
        <x:v>Cell-only isolated monomer evidence</x:v>
      </x:c>
      <x:c r="G158" s="20" t="str">
        <x:v>Yes</x:v>
      </x:c>
      <x:c r="H158" s="20" t="str">
        <x:v>No</x:v>
      </x:c>
      <x:c r="I158" s="20" t="str">
        <x:v>Yes</x:v>
      </x:c>
      <x:c r="J158" s="20" t="str">
        <x:v>No</x:v>
      </x:c>
      <x:c r="K158" s="20" t="str">
        <x:v>Yes</x:v>
      </x:c>
      <x:c r="L158" s="20" t="str">
        <x:v>No</x:v>
      </x:c>
      <x:c r="M158" s="20" t="str">
        <x:v>No</x:v>
      </x:c>
      <x:c r="N158" s="20" t="str">
        <x:v>No</x:v>
      </x:c>
      <x:c r="O158" s="20" t="str">
        <x:v>No</x:v>
      </x:c>
      <x:c r="P158" s="20" t="str">
        <x:v>No</x:v>
      </x:c>
      <x:c r="Q158" s="20" t="str">
        <x:v>人结直肠癌 HT-29 细胞系</x:v>
      </x:c>
      <x:c r="R158" s="20" t="str">
        <x:v>not captured in source extraction</x:v>
      </x:c>
      <x:c r="S158" s="20" t="str">
        <x:v>Apoptosis/cell cycle; Immune microenvironment</x:v>
      </x:c>
      <x:c r="T158" s="20" t="str">
        <x:v>Direct mechanistic evidence requiring in vivo validation.</x:v>
      </x:c>
      <x:c r="U158" s="20" t="str">
        <x:v>2025</x:v>
      </x:c>
      <x:c r="V158" s="20" t="str">
        <x:v>2025/08/01</x:v>
      </x:c>
      <x:c r="W158" s="20" t="str">
        <x:v>caffeic acid</x:v>
      </x:c>
      <x:c r="X158" s="20" t="str">
        <x:v>羟基肉桂酸</x:v>
      </x:c>
      <x:c r="Y158" s="20" t="str">
        <x:v>Not established from supplied source field</x:v>
      </x:c>
      <x:c r="Z158" s="20" t="str">
        <x:v>Generic botanical, dietary, computational, or unspecified association</x:v>
      </x:c>
      <x:c r="AA158" s="20" t="str">
        <x:v>PMID 40627904; PMID40627904</x:v>
      </x:c>
      <x:c r="AB158" s="20" t="str">
        <x:v>Purified isolated compound(s): caffeic acid</x:v>
      </x:c>
      <x:c r="AC158" s="20" t="str">
        <x:v>One unique PMID-linked reference</x:v>
      </x:c>
    </x:row>
    <x:row r="159">
      <x:c r="A159" s="20" t="str">
        <x:v>40649986</x:v>
      </x:c>
      <x:c r="B159" s="20" t="str">
        <x:v>PMID40649986</x:v>
      </x:c>
      <x:c r="C159" s="20" t="str">
        <x:v>isorhamnetin</x:v>
      </x:c>
      <x:c r="D159" s="20" t="str">
        <x:v>Flavonoids</x:v>
      </x:c>
      <x:c r="E159" s="20" t="str">
        <x:v>Isorhamnetin Modulates Drug-Resistance-Related Biomarkers in Colon Cancer Cells.</x:v>
      </x:c>
      <x:c r="F159" s="20" t="str">
        <x:v>Cell-only isolated monomer evidence</x:v>
      </x:c>
      <x:c r="G159" s="20" t="str">
        <x:v>Yes</x:v>
      </x:c>
      <x:c r="H159" s="20" t="str">
        <x:v>No</x:v>
      </x:c>
      <x:c r="I159" s="20" t="str">
        <x:v>Yes</x:v>
      </x:c>
      <x:c r="J159" s="20" t="str">
        <x:v>No</x:v>
      </x:c>
      <x:c r="K159" s="20" t="str">
        <x:v>No</x:v>
      </x:c>
      <x:c r="L159" s="20" t="str">
        <x:v>No</x:v>
      </x:c>
      <x:c r="M159" s="20" t="str">
        <x:v>No</x:v>
      </x:c>
      <x:c r="N159" s="20" t="str">
        <x:v>No</x:v>
      </x:c>
      <x:c r="O159" s="20" t="str">
        <x:v>No</x:v>
      </x:c>
      <x:c r="P159" s="20" t="str">
        <x:v>No</x:v>
      </x:c>
      <x:c r="Q159" s="20" t="str">
        <x:v>人结肠癌细胞 SW-480、HT-29；正常细胞 HaCaT</x:v>
      </x:c>
      <x:c r="R159" s="20" t="str">
        <x:v>not captured in source extraction</x:v>
      </x:c>
      <x:c r="S159" s="20" t="str">
        <x:v>Apoptosis/cell cycle</x:v>
      </x:c>
      <x:c r="T159" s="20" t="str">
        <x:v>Direct mechanistic evidence requiring in vivo validation.</x:v>
      </x:c>
      <x:c r="U159" s="20" t="str">
        <x:v>2025</x:v>
      </x:c>
      <x:c r="V159" s="20" t="str">
        <x:v>2025/06/27</x:v>
      </x:c>
      <x:c r="W159" s="20" t="str">
        <x:v>isorhamnetin</x:v>
      </x:c>
      <x:c r="X159" s="20" t="str">
        <x:v>植物</x:v>
      </x:c>
      <x:c r="Y159" s="20" t="str">
        <x:v>Not established from supplied source field</x:v>
      </x:c>
      <x:c r="Z159" s="20" t="str">
        <x:v>Generic botanical, dietary, computational, or unspecified association</x:v>
      </x:c>
      <x:c r="AA159" s="20" t="str">
        <x:v>PMID 40649986; PMID40649986</x:v>
      </x:c>
      <x:c r="AB159" s="20" t="str">
        <x:v>Purified isolated compound(s): isorhamnetin</x:v>
      </x:c>
      <x:c r="AC159" s="20" t="str">
        <x:v>One unique PMID-linked reference</x:v>
      </x:c>
    </x:row>
    <x:row r="160">
      <x:c r="A160" s="20" t="str">
        <x:v>40712877</x:v>
      </x:c>
      <x:c r="B160" s="20" t="str">
        <x:v>PMID40712877</x:v>
      </x:c>
      <x:c r="C160" s="20" t="str">
        <x:v>silibinin</x:v>
      </x:c>
      <x:c r="D160" s="20" t="str">
        <x:v>Flavonoids</x:v>
      </x:c>
      <x:c r="E160" s="20" t="str">
        <x:v>Enhanced antimicrobial and anticancer activities of zein protein-agarose@Au composite hydrogel for controlled release of silibinin in colon cancer therapy.</x:v>
      </x:c>
      <x:c r="F160" s="20" t="str">
        <x:v>Formulation/nanodelivery contextual evidence</x:v>
      </x:c>
      <x:c r="G160" s="20" t="str">
        <x:v>No</x:v>
      </x:c>
      <x:c r="H160" s="20" t="str">
        <x:v>No</x:v>
      </x:c>
      <x:c r="I160" s="20" t="str">
        <x:v>No</x:v>
      </x:c>
      <x:c r="J160" s="20" t="str">
        <x:v>No</x:v>
      </x:c>
      <x:c r="K160" s="20" t="str">
        <x:v>No</x:v>
      </x:c>
      <x:c r="L160" s="20" t="str">
        <x:v>Yes</x:v>
      </x:c>
      <x:c r="M160" s="20" t="str">
        <x:v>Yes</x:v>
      </x:c>
      <x:c r="N160" s="20" t="str">
        <x:v>No</x:v>
      </x:c>
      <x:c r="O160" s="20" t="str">
        <x:v>No</x:v>
      </x:c>
      <x:c r="P160" s="20" t="str">
        <x:v>No</x:v>
      </x:c>
      <x:c r="Q160" s="20" t="str">
        <x:v>体外细胞模型 和 抗菌功能测试模型</x:v>
      </x:c>
      <x:c r="R160" s="20" t="str">
        <x:v>not captured in source extraction</x:v>
      </x:c>
      <x:c r="S160" s="20" t="str">
        <x:v>ROS/ferroptosis</x:v>
      </x:c>
      <x:c r="T160" s="20" t="str">
        <x:v>Context only; the delivery system cannot be attributed to isolated monomer activity.</x:v>
      </x:c>
      <x:c r="U160" s="20" t="str">
        <x:v>2025</x:v>
      </x:c>
      <x:c r="V160" s="20" t="str">
        <x:v>2025/09/01</x:v>
      </x:c>
      <x:c r="W160" s="20" t="str">
        <x:v>silibinin</x:v>
      </x:c>
      <x:c r="X160" s="20" t="str">
        <x:v>水飞蓟（Silybum marianum）种子提取物</x:v>
      </x:c>
      <x:c r="Y160" s="20" t="str">
        <x:v>Not established from supplied source field</x:v>
      </x:c>
      <x:c r="Z160" s="20" t="str">
        <x:v>Generic botanical, dietary, computational, or unspecified association</x:v>
      </x:c>
      <x:c r="AA160" s="20" t="str">
        <x:v>PMID 40712877; PMID40712877</x:v>
      </x:c>
      <x:c r="AB160" s="20" t="str">
        <x:v>Formulation/nanodelivery contextual evidence</x:v>
      </x:c>
      <x:c r="AC160" s="20" t="str">
        <x:v>One unique PMID-linked reference</x:v>
      </x:c>
    </x:row>
    <x:row r="161">
      <x:c r="A161" s="20" t="str">
        <x:v>40812220</x:v>
      </x:c>
      <x:c r="B161" s="20" t="str">
        <x:v>PMID40812220</x:v>
      </x:c>
      <x:c r="C161" s="20" t="str">
        <x:v>Luteolin</x:v>
      </x:c>
      <x:c r="D161" s="20" t="str">
        <x:v>Flavonoids</x:v>
      </x:c>
      <x:c r="E161" s="20" t="str">
        <x:v>Luteolin Induces GPX4-dependent Ferroptosis and Enhances Immune Activation in Colon Cancer.</x:v>
      </x:c>
      <x:c r="F161" s="20" t="str">
        <x:v>Animal-validated isolated monomer evidence</x:v>
      </x:c>
      <x:c r="G161" s="20" t="str">
        <x:v>Yes</x:v>
      </x:c>
      <x:c r="H161" s="20" t="str">
        <x:v>Yes</x:v>
      </x:c>
      <x:c r="I161" s="20" t="str">
        <x:v>No</x:v>
      </x:c>
      <x:c r="J161" s="20" t="str">
        <x:v>No</x:v>
      </x:c>
      <x:c r="K161" s="20" t="str">
        <x:v>Yes</x:v>
      </x:c>
      <x:c r="L161" s="20" t="str">
        <x:v>Yes</x:v>
      </x:c>
      <x:c r="M161" s="20" t="str">
        <x:v>No</x:v>
      </x:c>
      <x:c r="N161" s="20" t="str">
        <x:v>No</x:v>
      </x:c>
      <x:c r="O161" s="20" t="str">
        <x:v>No</x:v>
      </x:c>
      <x:c r="P161" s="20" t="str">
        <x:v>No</x:v>
      </x:c>
      <x:c r="Q161" s="20" t="str">
        <x:v>Colon cancer cells and MC38 syngeneic mouse model (verified in local PDF)</x:v>
      </x:c>
      <x:c r="R161" s="20" t="str">
        <x:v>not captured in source extraction</x:v>
      </x:c>
      <x:c r="S161" s="20" t="str">
        <x:v>Immune microenvironment; ROS/ferroptosis</x:v>
      </x:c>
      <x:c r="T161" s="20" t="str">
        <x:v>High-information direct preclinical evidence.</x:v>
      </x:c>
      <x:c r="U161" s="20" t="str">
        <x:v>2025</x:v>
      </x:c>
      <x:c r="V161" s="20" t="str">
        <x:v>2025/10/01</x:v>
      </x:c>
      <x:c r="W161" s="20" t="str">
        <x:v>Luteolin</x:v>
      </x:c>
      <x:c r="X161" s="20" t="str">
        <x:v>各种草药植物</x:v>
      </x:c>
      <x:c r="Y161" s="20" t="str">
        <x:v>Not established from this row alone</x:v>
      </x:c>
      <x:c r="Z161" s="20" t="str">
        <x:v>Dietary, generic botanical, or non-specific natural-product source</x:v>
      </x:c>
      <x:c r="AA161" s="20" t="str">
        <x:v>PMID 40812220; PMID40812220</x:v>
      </x:c>
      <x:c r="AB161" s="20" t="str">
        <x:v>Purified isolated compound(s): Luteolin</x:v>
      </x:c>
      <x:c r="AC161" s="20" t="str">
        <x:v>One unique PMID-linked reference</x:v>
      </x:c>
    </x:row>
    <x:row r="162">
      <x:c r="A162" s="20" t="str">
        <x:v>40873588</x:v>
      </x:c>
      <x:c r="B162" s="20" t="str">
        <x:v>PMID40873588</x:v>
      </x:c>
      <x:c r="C162" s="20" t="str">
        <x:v>Astragaloside IV</x:v>
      </x:c>
      <x:c r="D162" s="20" t="str">
        <x:v>Triterpenoid saponins</x:v>
      </x:c>
      <x:c r="E162" s="20" t="str">
        <x:v>Tumor-associated macrophages in colon cancer immunotherapy: mechanisms, natural product interventions, and microenvironment remodeling.</x:v>
      </x:c>
      <x:c r="F162" s="20" t="str">
        <x:v>Review/background evidence</x:v>
      </x:c>
      <x:c r="G162" s="20" t="str">
        <x:v>No</x:v>
      </x:c>
      <x:c r="H162" s="20" t="str">
        <x:v>No</x:v>
      </x:c>
      <x:c r="I162" s="20" t="str">
        <x:v>No</x:v>
      </x:c>
      <x:c r="J162" s="20" t="str">
        <x:v>No</x:v>
      </x:c>
      <x:c r="K162" s="20" t="str">
        <x:v>Yes</x:v>
      </x:c>
      <x:c r="L162" s="20" t="str">
        <x:v>No</x:v>
      </x:c>
      <x:c r="M162" s="20" t="str">
        <x:v>No</x:v>
      </x:c>
      <x:c r="N162" s="20" t="str">
        <x:v>No</x:v>
      </x:c>
      <x:c r="O162" s="20" t="str">
        <x:v>No</x:v>
      </x:c>
      <x:c r="P162" s="20" t="str">
        <x:v>Yes</x:v>
      </x:c>
      <x:c r="Q162" s="20" t="str">
        <x:v>1 体外细胞实验 如巨噬细胞系与结肠癌细胞共培养
2 动物模型 如小鼠结肠癌移植瘤或自发模型
3 肿瘤微环境研究 涉及免疫细胞 功能调控</x:v>
      </x:c>
      <x:c r="R162" s="20" t="str">
        <x:v>not captured in source extraction</x:v>
      </x:c>
      <x:c r="S162" s="20" t="str">
        <x:v>Immune microenvironment; NF-kB/STAT3/inflammation</x:v>
      </x:c>
      <x:c r="T162" s="20" t="str">
        <x:v>Background synthesis only; not counted as new efficacy evidence.</x:v>
      </x:c>
      <x:c r="U162" s="20" t="str">
        <x:v>2025</x:v>
      </x:c>
      <x:c r="V162" s="20" t="str">
        <x:v>2025/08/12</x:v>
      </x:c>
      <x:c r="W162" s="20" t="str">
        <x:v>Astragaloside IV</x:v>
      </x:c>
      <x:c r="X162" s="20" t="str">
        <x:v>植物</x:v>
      </x:c>
      <x:c r="Y162" s="20" t="str">
        <x:v>Yes—directly traceable in supplied records</x:v>
      </x:c>
      <x:c r="Z162" s="20" t="str">
        <x:v>Constituent of Huangqi (Astragalus medicinal material)</x:v>
      </x:c>
      <x:c r="AA162" s="20" t="str">
        <x:v>PMID 40873588; PMID40873588</x:v>
      </x:c>
      <x:c r="AB162" s="20" t="str">
        <x:v>Review/background evidence</x:v>
      </x:c>
      <x:c r="AC162" s="20" t="str">
        <x:v>One unique PMID-linked reference</x:v>
      </x:c>
    </x:row>
    <x:row r="163">
      <x:c r="A163" s="20" t="str">
        <x:v>40889204</x:v>
      </x:c>
      <x:c r="B163" s="20" t="str">
        <x:v>PMID40889204</x:v>
      </x:c>
      <x:c r="C163" s="20" t="str">
        <x:v>beta-sitosterol</x:v>
      </x:c>
      <x:c r="D163" s="20" t="str">
        <x:v>Phytosterols</x:v>
      </x:c>
      <x:c r="E163" s="20" t="str">
        <x:v>beta-Sitosterol as an Anti-Tumour Active Component of Herba Sarcandrae Inhibits Colorectal Cancer Progression Through Up-Regulation of TBX20.</x:v>
      </x:c>
      <x:c r="F163" s="20" t="str">
        <x:v>Animal-validated isolated monomer evidence</x:v>
      </x:c>
      <x:c r="G163" s="20" t="str">
        <x:v>Yes</x:v>
      </x:c>
      <x:c r="H163" s="20" t="str">
        <x:v>Yes</x:v>
      </x:c>
      <x:c r="I163" s="20" t="str">
        <x:v>No</x:v>
      </x:c>
      <x:c r="J163" s="20" t="str">
        <x:v>Yes</x:v>
      </x:c>
      <x:c r="K163" s="20" t="str">
        <x:v>No</x:v>
      </x:c>
      <x:c r="L163" s="20" t="str">
        <x:v>No</x:v>
      </x:c>
      <x:c r="M163" s="20" t="str">
        <x:v>No</x:v>
      </x:c>
      <x:c r="N163" s="20" t="str">
        <x:v>No</x:v>
      </x:c>
      <x:c r="O163" s="20" t="str">
        <x:v>No</x:v>
      </x:c>
      <x:c r="P163" s="20" t="str">
        <x:v>No</x:v>
      </x:c>
      <x:c r="Q163" s="20" t="str">
        <x:v>体外模型：人结直肠癌细胞系
体内模型：结直肠癌异种移植瘤小鼠模型</x:v>
      </x:c>
      <x:c r="R163" s="20" t="str">
        <x:v>not captured in source extraction</x:v>
      </x:c>
      <x:c r="S163" s="20" t="str">
        <x:v>Apoptosis/cell cycle</x:v>
      </x:c>
      <x:c r="T163" s="20" t="str">
        <x:v>High-information direct preclinical evidence.</x:v>
      </x:c>
      <x:c r="U163" s="20" t="str">
        <x:v>2025</x:v>
      </x:c>
      <x:c r="V163" s="20" t="str">
        <x:v>2025/09/01</x:v>
      </x:c>
      <x:c r="W163" s="20" t="str">
        <x:v>beta-sitosterol</x:v>
      </x:c>
      <x:c r="X163" s="20" t="str">
        <x:v>中药肿节风（Herba Sarcandrae, HS）</x:v>
      </x:c>
      <x:c r="Y163" s="20" t="str">
        <x:v>Not established from supplied source field</x:v>
      </x:c>
      <x:c r="Z163" s="20" t="str">
        <x:v>Generic botanical, dietary, computational, or unspecified association</x:v>
      </x:c>
      <x:c r="AA163" s="20" t="str">
        <x:v>PMID 40889204; PMID40889204</x:v>
      </x:c>
      <x:c r="AB163" s="20" t="str">
        <x:v>Purified isolated compound(s): beta-sitosterol</x:v>
      </x:c>
      <x:c r="AC163" s="20" t="str">
        <x:v>One unique PMID-linked reference</x:v>
      </x:c>
    </x:row>
    <x:row r="164">
      <x:c r="A164" s="20" t="str">
        <x:v>40940406</x:v>
      </x:c>
      <x:c r="B164" s="20" t="str">
        <x:v>PMID40940406</x:v>
      </x:c>
      <x:c r="C164" s="20" t="str">
        <x:v>Pachymic acid</x:v>
      </x:c>
      <x:c r="D164" s="20" t="str">
        <x:v>Triterpenoids</x:v>
      </x:c>
      <x:c r="E164" s="20" t="str">
        <x:v>Honeybee associated Aspergillus niger AW17 as a source of selective anticancer compounds with cytotoxicity evaluation in human cancer cell lines.</x:v>
      </x:c>
      <x:c r="F164" s="20" t="str">
        <x:v>Extract/formula/decoction contextual evidence</x:v>
      </x:c>
      <x:c r="G164" s="20" t="str">
        <x:v>No</x:v>
      </x:c>
      <x:c r="H164" s="20" t="str">
        <x:v>No</x:v>
      </x:c>
      <x:c r="I164" s="20" t="str">
        <x:v>No</x:v>
      </x:c>
      <x:c r="J164" s="20" t="str">
        <x:v>No</x:v>
      </x:c>
      <x:c r="K164" s="20" t="str">
        <x:v>No</x:v>
      </x:c>
      <x:c r="L164" s="20" t="str">
        <x:v>No</x:v>
      </x:c>
      <x:c r="M164" s="20" t="str">
        <x:v>No</x:v>
      </x:c>
      <x:c r="N164" s="20" t="str">
        <x:v>Yes</x:v>
      </x:c>
      <x:c r="O164" s="20" t="str">
        <x:v>No</x:v>
      </x:c>
      <x:c r="P164" s="20" t="str">
        <x:v>No</x:v>
      </x:c>
      <x:c r="Q164" s="20" t="str">
        <x:v>结直肠 （Caco-2）、肝脏 （HepG2）、乳腺癌 （MCF-7） 和肺癌细胞系 （A549） 癌细胞系</x:v>
      </x:c>
      <x:c r="R164" s="20" t="str">
        <x:v>not captured in source extraction</x:v>
      </x:c>
      <x:c r="S164" s="20" t="str">
        <x:v>Apoptosis/cell cycle</x:v>
      </x:c>
      <x:c r="T164" s="20" t="str">
        <x:v>Context only; The tested material was an Aspergillus niger extract containing pachymic acid, not isolated pachymic acid.</x:v>
      </x:c>
      <x:c r="U164" s="20" t="str">
        <x:v>2025</x:v>
      </x:c>
      <x:c r="V164" s="20" t="str">
        <x:v>2025/09/12</x:v>
      </x:c>
      <x:c r="W164" s="20" t="str">
        <x:v>Pachymic acid</x:v>
      </x:c>
      <x:c r="X164" s="20" t="str">
        <x:v>蜜蜂中分离出来的Aspergillus niger AW17</x:v>
      </x:c>
      <x:c r="Y164" s="20" t="str">
        <x:v>Not established from supplied source field</x:v>
      </x:c>
      <x:c r="Z164" s="20" t="str">
        <x:v>Generic botanical, dietary, computational, or unspecified association</x:v>
      </x:c>
      <x:c r="AA164" s="20" t="str">
        <x:v>PMID 40940406; PMID40940406</x:v>
      </x:c>
      <x:c r="AB164" s="20" t="str">
        <x:v>Extract/formula/decoction contextual evidence</x:v>
      </x:c>
      <x:c r="AC164" s="20" t="str">
        <x:v>One unique PMID-linked reference</x:v>
      </x:c>
    </x:row>
    <x:row r="165">
      <x:c r="A165" s="20" t="str">
        <x:v>40959291</x:v>
      </x:c>
      <x:c r="B165" s="20" t="str">
        <x:v>PMID40959291</x:v>
      </x:c>
      <x:c r="C165" s="20" t="str">
        <x:v>Kaempferol</x:v>
      </x:c>
      <x:c r="D165" s="20" t="str">
        <x:v>Flavonoids</x:v>
      </x:c>
      <x:c r="E165" s="20" t="str">
        <x:v>O-GlcNAcylated Hsp47 as a predictive biomarker in colorectal cancer: Kaempferol targets OGT-collagen axis for therapeutic intervention.</x:v>
      </x:c>
      <x:c r="F165" s="20" t="str">
        <x:v>Cell-only isolated monomer evidence</x:v>
      </x:c>
      <x:c r="G165" s="20" t="str">
        <x:v>Yes</x:v>
      </x:c>
      <x:c r="H165" s="20" t="str">
        <x:v>No</x:v>
      </x:c>
      <x:c r="I165" s="20" t="str">
        <x:v>Yes</x:v>
      </x:c>
      <x:c r="J165" s="20" t="str">
        <x:v>No</x:v>
      </x:c>
      <x:c r="K165" s="20" t="str">
        <x:v>No</x:v>
      </x:c>
      <x:c r="L165" s="20" t="str">
        <x:v>No</x:v>
      </x:c>
      <x:c r="M165" s="20" t="str">
        <x:v>No</x:v>
      </x:c>
      <x:c r="N165" s="20" t="str">
        <x:v>No</x:v>
      </x:c>
      <x:c r="O165" s="20" t="str">
        <x:v>No</x:v>
      </x:c>
      <x:c r="P165" s="20" t="str">
        <x:v>No</x:v>
      </x:c>
      <x:c r="Q165" s="20" t="str">
        <x:v>分子水平模型：重组 OGT 蛋白、体外结合实验（SIP、CETSA）、分子对接与分子动力学模拟</x:v>
      </x:c>
      <x:c r="R165" s="20" t="str">
        <x:v>not captured in source extraction</x:v>
      </x:c>
      <x:c r="S165" s="20" t="str">
        <x:v>EMT/ECM/metastasis</x:v>
      </x:c>
      <x:c r="T165" s="20" t="str">
        <x:v>Direct mechanistic evidence requiring in vivo validation.</x:v>
      </x:c>
      <x:c r="U165" s="20" t="str">
        <x:v>2025</x:v>
      </x:c>
      <x:c r="V165" s="20" t="str">
        <x:v>2025/08/30</x:v>
      </x:c>
      <x:c r="W165" s="20" t="str">
        <x:v>Kaempferol</x:v>
      </x:c>
      <x:c r="X165" s="20" t="str">
        <x:v>天然黄酮类化合物</x:v>
      </x:c>
      <x:c r="Y165" s="20" t="str">
        <x:v>Not established from this row alone</x:v>
      </x:c>
      <x:c r="Z165" s="20" t="str">
        <x:v>Dietary, generic botanical, or non-specific natural-product source</x:v>
      </x:c>
      <x:c r="AA165" s="20" t="str">
        <x:v>PMID 40959291; PMID40959291</x:v>
      </x:c>
      <x:c r="AB165" s="20" t="str">
        <x:v>Purified isolated compound(s): Kaempferol</x:v>
      </x:c>
      <x:c r="AC165" s="20" t="str">
        <x:v>One unique PMID-linked reference</x:v>
      </x:c>
    </x:row>
    <x:row r="166">
      <x:c r="A166" s="20" t="str">
        <x:v>40968164</x:v>
      </x:c>
      <x:c r="B166" s="20" t="str">
        <x:v>PMID40968164</x:v>
      </x:c>
      <x:c r="C166" s="20" t="str">
        <x:v>Kaempferol</x:v>
      </x:c>
      <x:c r="D166" s="20" t="str">
        <x:v>Flavonoids</x:v>
      </x:c>
      <x:c r="E166" s="20" t="str">
        <x:v>Anti-inflammatory and cytotoxic assessment of flavonoids isolated from Viola odorata flowers with computer-guided docking study.</x:v>
      </x:c>
      <x:c r="F166" s="20" t="str">
        <x:v>Derivative/metabolite contextual evidence</x:v>
      </x:c>
      <x:c r="G166" s="20" t="str">
        <x:v>No</x:v>
      </x:c>
      <x:c r="H166" s="20" t="str">
        <x:v>No</x:v>
      </x:c>
      <x:c r="I166" s="20" t="str">
        <x:v>No</x:v>
      </x:c>
      <x:c r="J166" s="20" t="str">
        <x:v>No</x:v>
      </x:c>
      <x:c r="K166" s="20" t="str">
        <x:v>No</x:v>
      </x:c>
      <x:c r="L166" s="20" t="str">
        <x:v>Yes</x:v>
      </x:c>
      <x:c r="M166" s="20" t="str">
        <x:v>No</x:v>
      </x:c>
      <x:c r="N166" s="20" t="str">
        <x:v>No</x:v>
      </x:c>
      <x:c r="O166" s="20" t="str">
        <x:v>No</x:v>
      </x:c>
      <x:c r="P166" s="20" t="str">
        <x:v>No</x:v>
      </x:c>
      <x:c r="Q166" s="20" t="str">
        <x:v>体外细胞模型：
人结直肠癌细胞系 HCT116</x:v>
      </x:c>
      <x:c r="R166" s="20" t="str">
        <x:v>not captured in source extraction</x:v>
      </x:c>
      <x:c r="S166" s="20" t="str">
        <x:v>Apoptosis/cell cycle; EMT/ECM/metastasis; MAPK/JNK/ERK; NF-kB/STAT3/inflammation; PI3K/Akt/mTOR/metabolism; ROS/ferroptosis</x:v>
      </x:c>
      <x:c r="T166" s="20" t="str">
        <x:v>Context only; The isolated test compound mapped to kaempferol was kaempferol 3-O-rutinoside, not kaempferol aglycone.</x:v>
      </x:c>
      <x:c r="U166" s="20" t="str">
        <x:v>2025</x:v>
      </x:c>
      <x:c r="V166" s="20" t="str">
        <x:v>2025/09/18</x:v>
      </x:c>
      <x:c r="W166" s="20" t="str">
        <x:v>Kaempferol</x:v>
      </x:c>
      <x:c r="X166" s="20" t="str">
        <x:v>Rosa hybrida（杂交玫瑰）的可食用乙醇提取物（EERH）</x:v>
      </x:c>
      <x:c r="Y166" s="20" t="str">
        <x:v>Not established from this row alone</x:v>
      </x:c>
      <x:c r="Z166" s="20" t="str">
        <x:v>Dietary, generic botanical, or non-specific natural-product source</x:v>
      </x:c>
      <x:c r="AA166" s="20" t="str">
        <x:v>PMID 40968164; PMID40968164</x:v>
      </x:c>
      <x:c r="AB166" s="20" t="str">
        <x:v>Derivative/metabolite contextual evidence</x:v>
      </x:c>
      <x:c r="AC166" s="20" t="str">
        <x:v>One unique PMID-linked reference</x:v>
      </x:c>
    </x:row>
    <x:row r="167">
      <x:c r="A167" s="20" t="str">
        <x:v>41009803</x:v>
      </x:c>
      <x:c r="B167" s="20" t="str">
        <x:v>PMID41009803</x:v>
      </x:c>
      <x:c r="C167" s="20" t="str">
        <x:v>amygdalin</x:v>
      </x:c>
      <x:c r="D167" s="20" t="str">
        <x:v>Cyanogenic glycosides</x:v>
      </x:c>
      <x:c r="E167" s="20" t="str">
        <x:v>Preparation of a Micronutrient-Enriched Apricot Kernel Oil and Assessment of In Vitro Chemopreventive Properties.</x:v>
      </x:c>
      <x:c r="F167" s="20" t="str">
        <x:v>Extract/formula/decoction contextual evidence</x:v>
      </x:c>
      <x:c r="G167" s="20" t="str">
        <x:v>No</x:v>
      </x:c>
      <x:c r="H167" s="20" t="str">
        <x:v>No</x:v>
      </x:c>
      <x:c r="I167" s="20" t="str">
        <x:v>No</x:v>
      </x:c>
      <x:c r="J167" s="20" t="str">
        <x:v>No</x:v>
      </x:c>
      <x:c r="K167" s="20" t="str">
        <x:v>No</x:v>
      </x:c>
      <x:c r="L167" s="20" t="str">
        <x:v>No</x:v>
      </x:c>
      <x:c r="M167" s="20" t="str">
        <x:v>No</x:v>
      </x:c>
      <x:c r="N167" s="20" t="str">
        <x:v>Yes</x:v>
      </x:c>
      <x:c r="O167" s="20" t="str">
        <x:v>No</x:v>
      </x:c>
      <x:c r="P167" s="20" t="str">
        <x:v>No</x:v>
      </x:c>
      <x:c r="Q167" s="20" t="str">
        <x:v>LoVo、HT29（结直肠癌）、Hep3B（肝癌）细胞系，体外模型</x:v>
      </x:c>
      <x:c r="R167" s="20" t="str">
        <x:v>0.06–0.09 mg/mL</x:v>
      </x:c>
      <x:c r="S167" s="20" t="str">
        <x:v>Apoptosis/cell cycle; EMT/ECM/metastasis</x:v>
      </x:c>
      <x:c r="T167" s="20" t="str">
        <x:v>Context only; preparation effects are not assigned to an isolated monomer.</x:v>
      </x:c>
      <x:c r="U167" s="20" t="str">
        <x:v>2025</x:v>
      </x:c>
      <x:c r="V167" s="20" t="str">
        <x:v>2025/09/22</x:v>
      </x:c>
      <x:c r="W167" s="20" t="str">
        <x:v>amygdalin</x:v>
      </x:c>
      <x:c r="X167" s="20" t="str">
        <x:v>杏仁</x:v>
      </x:c>
      <x:c r="Y167" s="20" t="str">
        <x:v>Not established from supplied source field</x:v>
      </x:c>
      <x:c r="Z167" s="20" t="str">
        <x:v>Generic botanical, dietary, computational, or unspecified association</x:v>
      </x:c>
      <x:c r="AA167" s="20" t="str">
        <x:v>PMID 41009803; PMID41009803</x:v>
      </x:c>
      <x:c r="AB167" s="20" t="str">
        <x:v>Extract/formula/decoction contextual evidence</x:v>
      </x:c>
      <x:c r="AC167" s="20" t="str">
        <x:v>One unique PMID-linked reference</x:v>
      </x:c>
    </x:row>
    <x:row r="168">
      <x:c r="A168" s="20" t="str">
        <x:v>41045501</x:v>
      </x:c>
      <x:c r="B168" s="20" t="str">
        <x:v>PMID41045501</x:v>
      </x:c>
      <x:c r="C168" s="20" t="str">
        <x:v>Kaempferol</x:v>
      </x:c>
      <x:c r="D168" s="20" t="str">
        <x:v>Flavonoids</x:v>
      </x:c>
      <x:c r="E168" s="20" t="str">
        <x:v>Endoplasmic Reticulum Stress-Mediated Apoptosis Induced by Kaempferol in Colorectal Cancer Cells.</x:v>
      </x:c>
      <x:c r="F168" s="20" t="str">
        <x:v>Cell-only isolated monomer evidence</x:v>
      </x:c>
      <x:c r="G168" s="20" t="str">
        <x:v>Yes</x:v>
      </x:c>
      <x:c r="H168" s="20" t="str">
        <x:v>No</x:v>
      </x:c>
      <x:c r="I168" s="20" t="str">
        <x:v>Yes</x:v>
      </x:c>
      <x:c r="J168" s="20" t="str">
        <x:v>No</x:v>
      </x:c>
      <x:c r="K168" s="20" t="str">
        <x:v>No</x:v>
      </x:c>
      <x:c r="L168" s="20" t="str">
        <x:v>No</x:v>
      </x:c>
      <x:c r="M168" s="20" t="str">
        <x:v>No</x:v>
      </x:c>
      <x:c r="N168" s="20" t="str">
        <x:v>No</x:v>
      </x:c>
      <x:c r="O168" s="20" t="str">
        <x:v>No</x:v>
      </x:c>
      <x:c r="P168" s="20" t="str">
        <x:v>No</x:v>
      </x:c>
      <x:c r="Q168" s="20" t="str">
        <x:v>DLD-1（结直肠癌）、A549（肺癌）、HUH-7（肝癌）、HeLa（宫颈癌）和 NCI-h295R（肾上腺癌），以及健康的上皮细胞系 CCD-18Co</x:v>
      </x:c>
      <x:c r="R168" s="20" t="str">
        <x:v>not captured in source extraction</x:v>
      </x:c>
      <x:c r="S168" s="20" t="str">
        <x:v>Apoptosis/cell cycle</x:v>
      </x:c>
      <x:c r="T168" s="20" t="str">
        <x:v>Direct mechanistic evidence requiring in vivo validation.</x:v>
      </x:c>
      <x:c r="U168" s="20" t="str">
        <x:v>2025</x:v>
      </x:c>
      <x:c r="V168" s="20" t="str">
        <x:v>2025/12/01</x:v>
      </x:c>
      <x:c r="W168" s="20" t="str">
        <x:v>Kaempferol</x:v>
      </x:c>
      <x:c r="X168" s="20" t="str">
        <x:v>天然膳食</x:v>
      </x:c>
      <x:c r="Y168" s="20" t="str">
        <x:v>Not established from this row alone</x:v>
      </x:c>
      <x:c r="Z168" s="20" t="str">
        <x:v>Dietary, generic botanical, or non-specific natural-product source</x:v>
      </x:c>
      <x:c r="AA168" s="20" t="str">
        <x:v>PMID 41045501; PMID41045501</x:v>
      </x:c>
      <x:c r="AB168" s="20" t="str">
        <x:v>Purified isolated compound(s): Kaempferol</x:v>
      </x:c>
      <x:c r="AC168" s="20" t="str">
        <x:v>One unique PMID-linked reference</x:v>
      </x:c>
    </x:row>
    <x:row r="169">
      <x:c r="A169" s="21" t="str">
        <x:v>41051621</x:v>
      </x:c>
      <x:c r="B169" s="21" t="str">
        <x:v>PMID41051621</x:v>
      </x:c>
      <x:c r="C169" s="21" t="str">
        <x:v>Tanshinone IIA</x:v>
      </x:c>
      <x:c r="D169" s="21" t="str">
        <x:v>Diterpenoid quinones</x:v>
      </x:c>
      <x:c r="E169" s="21" t="str">
        <x:v>Targeting Skp2 by Tanshinone IIA overcomes chemoresistance in colorectal cancer.</x:v>
      </x:c>
      <x:c r="F169" s="21" t="str">
        <x:v>Animal-validated isolated monomer evidence</x:v>
      </x:c>
      <x:c r="G169" s="21" t="str">
        <x:v>Yes</x:v>
      </x:c>
      <x:c r="H169" s="21" t="str">
        <x:v>Yes</x:v>
      </x:c>
      <x:c r="I169" s="21" t="str">
        <x:v>No</x:v>
      </x:c>
      <x:c r="J169" s="21" t="str">
        <x:v>Yes</x:v>
      </x:c>
      <x:c r="K169" s="21" t="str">
        <x:v>No</x:v>
      </x:c>
      <x:c r="L169" s="21" t="str">
        <x:v>No</x:v>
      </x:c>
      <x:c r="M169" s="21" t="str">
        <x:v>No</x:v>
      </x:c>
      <x:c r="N169" s="21" t="str">
        <x:v>No</x:v>
      </x:c>
      <x:c r="O169" s="21" t="str">
        <x:v>No</x:v>
      </x:c>
      <x:c r="P169" s="21" t="str">
        <x:v>No</x:v>
      </x:c>
      <x:c r="Q169" s="21" t="str">
        <x:v>体外模型：正常人结肠上皮细胞 FHC
结直肠癌细胞系：HCT116、HT29、SW620
5-Fu耐药细胞系：HCT116R、HT29R
体内模型：
裸鼠异种移植瘤模型</x:v>
      </x:c>
      <x:c r="R169" s="21" t="str">
        <x:v>Tanshinone IIA 5 mg/kg every 2 days intraperitoneally in xenograft mice</x:v>
      </x:c>
      <x:c r="S169" s="21" t="str">
        <x:v>Apoptosis/cell cycle; PI3K/Akt/mTOR/metabolism</x:v>
      </x:c>
      <x:c r="T169" s="21" t="str">
        <x:v>High-information direct preclinical evidence.</x:v>
      </x:c>
      <x:c r="U169" s="21" t="str">
        <x:v>2025</x:v>
      </x:c>
      <x:c r="V169" s="21" t="str">
        <x:v>2025/10/06</x:v>
      </x:c>
      <x:c r="W169" s="21" t="str">
        <x:v>Tanshinone IIA</x:v>
      </x:c>
      <x:c r="X169" s="21" t="str">
        <x:v>丹参</x:v>
      </x:c>
      <x:c r="Y169" s="21" t="str">
        <x:v>Yes—directly traceable in supplied records</x:v>
      </x:c>
      <x:c r="Z169" s="21" t="str">
        <x:v>Constituent of Danshen (Salvia miltiorrhiza)</x:v>
      </x:c>
      <x:c r="AA169" s="21" t="str">
        <x:v>PMID 41051621; PMID41051621</x:v>
      </x:c>
      <x:c r="AB169" s="21" t="str">
        <x:v>Purified isolated compound(s): Tanshinone IIA</x:v>
      </x:c>
      <x:c r="AC169" s="21" t="str">
        <x:v>One unique PMID-linked reference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41.25" hidden="0" customWidth="1"/>
  </x:cols>
  <x:sheetData>
    <x:row r="1">
      <x:c r="A1" s="46" t="str">
        <x:v>Reference-level attribution summary</x:v>
      </x:c>
      <x:c r="B1" s="46"/>
    </x:row>
    <x:row r="2">
      <x:c r="A2" s="47"/>
      <x:c r="B2" s="47"/>
    </x:row>
    <x:row r="3">
      <x:c r="A3" s="48" t="str">
        <x:v>Unique PMID-linked references</x:v>
      </x:c>
      <x:c r="B3" s="49" t="n">
        <x:f>COUNTA('Table S1 evidence map'!A2:A169)</x:f>
        <x:v>168</x:v>
      </x:c>
    </x:row>
    <x:row r="4">
      <x:c r="A4" s="50" t="str">
        <x:v>Direct purified-compound references</x:v>
      </x:c>
      <x:c r="B4" s="51" t="n">
        <x:f>COUNTIF('Table S1 evidence map'!G2:G169,"Yes")</x:f>
        <x:v>77</x:v>
      </x:c>
    </x:row>
    <x:row r="5">
      <x:c r="A5" s="50" t="str">
        <x:v>Animal-validated direct references</x:v>
      </x:c>
      <x:c r="B5" s="51" t="n">
        <x:f>COUNTIF('Table S1 evidence map'!H2:H169,"Yes")</x:f>
        <x:v>29</x:v>
      </x:c>
    </x:row>
    <x:row r="6">
      <x:c r="A6" s="50" t="str">
        <x:v>Cell-only direct references</x:v>
      </x:c>
      <x:c r="B6" s="51" t="n">
        <x:f>COUNTIF('Table S1 evidence map'!I2:I169,"Yes")</x:f>
        <x:v>48</x:v>
      </x:c>
    </x:row>
    <x:row r="7">
      <x:c r="A7" s="50" t="str">
        <x:v>Contextual references</x:v>
      </x:c>
      <x:c r="B7" s="51" t="n">
        <x:f>B3-B4</x:f>
        <x:v>91</x:v>
      </x:c>
    </x:row>
    <x:row r="8">
      <x:c r="A8" s="50" t="str">
        <x:v>Animal + cell-only check</x:v>
      </x:c>
      <x:c r="B8" s="51" t="n">
        <x:f>B5+B6-B4</x:f>
        <x:v>0</x:v>
      </x:c>
    </x:row>
    <x:row r="9">
      <x:c r="A9" s="50" t="str">
        <x:v>Publication-year range</x:v>
      </x:c>
      <x:c r="B9" s="51" t="str">
        <x:f>MIN('Table S1 evidence map'!U2:U169)&amp;"–"&amp;MAX('Table S1 evidence map'!U2:U169)</x:f>
        <x:v>2013–2025</x:v>
      </x:c>
    </x:row>
    <x:row r="10">
      <x:c r="A10" s="52" t="str">
        <x:v>Counting unit</x:v>
      </x:c>
      <x:c r="B10" s="53" t="str">
        <x:v>One unique PMID-linked reference per row.</x:v>
      </x:c>
    </x:row>
  </x:sheetData>
  <x:mergeCells>
    <x:mergeCell ref="A1:B1"/>
  </x:mergeCells>
  <x:pageMargins left="0.7" right="0.7" top="0.75" bottom="0.75" header="0.3" footer="0.3"/>
</x:worksheet>
</file>