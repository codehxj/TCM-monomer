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b081a8ade104beb" /></Relationships>
</file>

<file path=xl/workbook.xml><?xml version="1.0" encoding="utf-8"?>
<x:workbook xmlns:x="http://schemas.openxmlformats.org/spreadsheetml/2006/main">
  <x:sheets>
    <x:sheet xmlns:r="http://schemas.openxmlformats.org/officeDocument/2006/relationships" name="Evidence extraction" sheetId="1" r:id="R22dbae807da34e39"/>
    <x:sheet xmlns:r="http://schemas.openxmlformats.org/officeDocument/2006/relationships" name="Audit summary" sheetId="2" r:id="R9a27a0aff46d40b9"/>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1"/>
      <x:color rgb="FFFFFFFF"/>
      <x:name val="Carlito"/>
    </x:font>
    <x:font>
      <x:sz val="9"/>
      <x:name val="Aptos"/>
    </x:font>
    <x:font>
      <x:b/>
      <x:sz val="14"/>
      <x:color rgb="FFFFFFFF"/>
      <x:name val="Carlito"/>
    </x:font>
    <x:font>
      <x:b/>
      <x:sz val="11"/>
      <x:color rgb="FF1F1F1F"/>
      <x:name val="Carlito"/>
    </x:font>
    <x:font>
      <x:b/>
      <x:sz val="14"/>
      <x:color rgb="FFFFFFFF"/>
      <x:name val="Aptos"/>
    </x:font>
    <x:font>
      <x:sz val="11"/>
      <x:name val="Aptos"/>
    </x:font>
    <x:font>
      <x:b/>
      <x:sz val="11"/>
      <x:color rgb="FF1F1F1F"/>
      <x:name val="Aptos"/>
    </x:font>
  </x:fonts>
  <x:fills count="3">
    <x:fill>
      <x:patternFill patternType="none"/>
    </x:fill>
    <x:fill>
      <x:patternFill patternType="gray125"/>
    </x:fill>
    <x:fill>
      <x:patternFill patternType="solid">
        <x:fgColor rgb="FF1F4E78"/>
      </x:patternFill>
    </x:fill>
  </x:fills>
  <x:borders count="10">
    <x:border/>
    <x:border/>
    <x:border>
      <x:bottom style="thin">
        <x:color rgb="FFD9E2F3"/>
      </x:bottom>
    </x:border>
    <x:border>
      <x:top style="thin">
        <x:color rgb="FFD9E2F3"/>
      </x:top>
      <x:bottom style="thin">
        <x:color rgb="FFD9E2F3"/>
      </x:bottom>
    </x:border>
    <x:border>
      <x:top style="thin">
        <x:color rgb="FFD9E2F3"/>
      </x:top>
      <x:bottom style="thin">
        <x:color rgb="FF9EADBA"/>
      </x:bottom>
    </x:border>
    <x:border>
      <x:bottom style="thin">
        <x:color rgb="FFD9E2F3"/>
      </x:bottom>
    </x:border>
    <x:border>
      <x:top style="thin">
        <x:color rgb="FFD9E2F3"/>
      </x:top>
      <x:bottom style="thin">
        <x:color rgb="FFD9E2F3"/>
      </x:bottom>
    </x:border>
    <x:border>
      <x:top style="thin">
        <x:color rgb="FFD9E2F3"/>
      </x:top>
      <x:bottom style="thin">
        <x:color rgb="FF9EADBA"/>
      </x:bottom>
    </x:border>
    <x:border>
      <x:top style="thin">
        <x:color rgb="FF9EADBA"/>
      </x:top>
      <x:bottom style="thin">
        <x:color rgb="FFD9E2F3"/>
      </x:bottom>
    </x:border>
    <x:border>
      <x:top style="thin">
        <x:color rgb="FF9EADBA"/>
      </x:top>
      <x:bottom style="thin">
        <x:color rgb="FFD9E2F3"/>
      </x:bottom>
    </x:border>
  </x:borders>
  <x:cellStyleXfs count="1">
    <x:xf numFmtId="0" fontId="0" fillId="0" borderId="0"/>
  </x:cellStyleXfs>
  <x:cellXfs count="60">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0" fontId="2" fillId="0" borderId="0" xfId="0" applyNumberFormat="1" applyFont="1" applyFill="1" applyBorder="1"/>
    <x:xf numFmtId="0" fontId="2" fillId="0" borderId="1" xfId="0" applyNumberFormat="1" applyFont="1" applyFill="1" applyBorder="1"/>
    <x:xf numFmtId="0" fontId="2" fillId="0" borderId="0" xfId="0" applyNumberFormat="1" applyFont="1" applyFill="1" applyBorder="1" applyAlignment="1">
      <x:alignment vertical="top"/>
    </x:xf>
    <x:xf numFmtId="0" fontId="2" fillId="0" borderId="1" xfId="0" applyNumberFormat="1" applyFont="1" applyFill="1" applyBorder="1" applyAlignment="1">
      <x:alignment vertical="top"/>
    </x:xf>
    <x:xf numFmtId="0" fontId="1" fillId="2" borderId="2" xfId="0" applyNumberFormat="1" applyFont="1" applyFill="1" applyBorder="1" applyAlignment="1">
      <x:alignment vertical="center" wrapText="1"/>
    </x:xf>
    <x:xf numFmtId="0" fontId="2" fillId="0" borderId="3" xfId="0" applyNumberFormat="1" applyFont="1" applyFill="1" applyBorder="1" applyAlignment="1">
      <x:alignment vertical="top"/>
    </x:xf>
    <x:xf numFmtId="0" fontId="2" fillId="0" borderId="4" xfId="0" applyNumberFormat="1" applyFont="1" applyFill="1" applyBorder="1" applyAlignment="1">
      <x:alignment vertical="top"/>
    </x:xf>
    <x:xf numFmtId="0" fontId="1" fillId="2" borderId="5" xfId="0" applyNumberFormat="1" applyFont="1" applyFill="1" applyBorder="1" applyAlignment="1">
      <x:alignment vertical="center" wrapText="1"/>
    </x:xf>
    <x:xf numFmtId="0" fontId="2" fillId="0" borderId="6" xfId="0" applyNumberFormat="1" applyFont="1" applyFill="1" applyBorder="1" applyAlignment="1">
      <x:alignment vertical="top"/>
    </x:xf>
    <x:xf numFmtId="0" fontId="2" fillId="0" borderId="7" xfId="0" applyNumberFormat="1" applyFont="1" applyFill="1" applyBorder="1" applyAlignment="1">
      <x:alignment vertical="top"/>
    </x:xf>
    <x:xf numFmtId="0" fontId="2" fillId="0" borderId="3" xfId="0" applyNumberFormat="1" applyFont="1" applyFill="1" applyBorder="1" applyAlignment="1">
      <x:alignment vertical="top" wrapText="1"/>
    </x:xf>
    <x:xf numFmtId="0" fontId="2" fillId="0" borderId="4"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2" fillId="0" borderId="7" xfId="0" applyNumberFormat="1" applyFont="1" applyFill="1" applyBorder="1" applyAlignment="1">
      <x:alignment vertical="top" wrapText="1"/>
    </x:xf>
    <x:xf numFmtId="0" fontId="3" fillId="2" borderId="0" xfId="0" applyNumberFormat="1" applyFont="1" applyFill="1" applyBorder="1"/>
    <x:xf numFmtId="0" fontId="3" fillId="2" borderId="1"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applyAlignment="1">
      <x:alignment horizontal="center"/>
    </x:xf>
    <x:xf numFmtId="0" fontId="0" fillId="0" borderId="8"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9"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5" fillId="2" borderId="0" xfId="0" applyNumberFormat="1" applyFont="1" applyFill="1" applyBorder="1" applyAlignment="1">
      <x:alignment horizontal="center"/>
    </x:xf>
    <x:xf numFmtId="0" fontId="6" fillId="0" borderId="0" xfId="0" applyNumberFormat="1" applyFont="1" applyFill="1" applyBorder="1"/>
    <x:xf numFmtId="0" fontId="7" fillId="0" borderId="8" xfId="0" applyNumberFormat="1" applyFont="1" applyFill="1" applyBorder="1" applyAlignment="1">
      <x:alignment vertical="top" wrapText="1"/>
    </x:xf>
    <x:xf numFmtId="0" fontId="6" fillId="0" borderId="8"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6"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6" fillId="0" borderId="4"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45ad9758fef403e" /><Relationship Type="http://schemas.openxmlformats.org/officeDocument/2006/relationships/theme" Target="/xl/theme/theme1.xml" Id="Rfcd9014d41e54553" /><Relationship Type="http://schemas.openxmlformats.org/officeDocument/2006/relationships/sharedStrings" Target="/xl/sharedStrings.xml" Id="Rd855f85f4afa4c4f" /><Relationship Type="http://schemas.openxmlformats.org/officeDocument/2006/relationships/worksheet" Target="/xl/worksheets/sheet1.xml" Id="R22dbae807da34e39" /><Relationship Type="http://schemas.openxmlformats.org/officeDocument/2006/relationships/worksheet" Target="/xl/worksheets/sheet2.xml" Id="R9a27a0aff46d40b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3.75" hidden="0" customWidth="1"/>
    <x:col min="2" max="2" width="18.1299991607666" hidden="0" customWidth="1"/>
    <x:col min="3" max="3" width="18.1299991607666" hidden="0" customWidth="1"/>
    <x:col min="4" max="4" width="18.1299991607666" hidden="0" customWidth="1"/>
    <x:col min="5" max="5" width="18.1299991607666" hidden="0" customWidth="1"/>
    <x:col min="6" max="6" width="18.1299991607666" hidden="0" customWidth="1"/>
    <x:col min="7" max="7" width="18.1299991607666" hidden="0" customWidth="1"/>
    <x:col min="8" max="8" width="18.1299991607666" hidden="0" customWidth="1"/>
    <x:col min="9" max="9" width="18.1299991607666" hidden="0" customWidth="1"/>
    <x:col min="10" max="10" width="18.1299991607666" hidden="0" customWidth="1"/>
    <x:col min="11" max="11" width="18.1299991607666" hidden="0" customWidth="1"/>
    <x:col min="12" max="12" width="18.1299991607666" hidden="0" customWidth="1"/>
    <x:col min="13" max="13" width="11.880000114440918" hidden="0" customWidth="1"/>
    <x:col min="14" max="14" width="11.880000114440918" hidden="0" customWidth="1"/>
    <x:col min="15" max="15" width="18.1299991607666" hidden="0" customWidth="1"/>
    <x:col min="16" max="16" width="18.1299991607666" hidden="0" customWidth="1"/>
    <x:col min="17" max="17" width="30" hidden="0" customWidth="1"/>
    <x:col min="18" max="18" width="30" hidden="0" customWidth="1"/>
    <x:col min="19" max="19" width="21.8799991607666" hidden="0" customWidth="1"/>
    <x:col min="20" max="20" width="21.8799991607666" hidden="0" customWidth="1"/>
    <x:col min="21" max="21" width="21.8799991607666" hidden="0" customWidth="1"/>
    <x:col min="22" max="22" width="21.8799991607666" hidden="0" customWidth="1"/>
    <x:col min="23" max="23" width="21.8799991607666" hidden="0" customWidth="1"/>
    <x:col min="24" max="24" width="21.8799991607666" hidden="0" customWidth="1"/>
    <x:col min="25" max="25" width="21.8799991607666" hidden="0" customWidth="1"/>
    <x:col min="26" max="26" width="21.8799991607666" hidden="0" customWidth="1"/>
    <x:col min="27" max="27" width="21.8799991607666" hidden="0" customWidth="1"/>
  </x:cols>
  <x:sheetData>
    <x:row r="1" ht="27" customHeight="1">
      <x:c r="A1" s="14" t="str">
        <x:v>﻿Monomer</x:v>
      </x:c>
      <x:c r="B1" s="14" t="str">
        <x:v>Class</x:v>
      </x:c>
      <x:c r="C1" s="14" t="str">
        <x:v>Source</x:v>
      </x:c>
      <x:c r="D1" s="14" t="str">
        <x:v>Model</x:v>
      </x:c>
      <x:c r="E1" s="14" t="str">
        <x:v>Model type</x:v>
      </x:c>
      <x:c r="F1" s="14" t="str">
        <x:v>Dose/concentration/administration</x:v>
      </x:c>
      <x:c r="G1" s="14" t="str">
        <x:v>Pathway/target (source extraction)</x:v>
      </x:c>
      <x:c r="H1" s="14" t="str">
        <x:v>Phenotype/result (source extraction)</x:v>
      </x:c>
      <x:c r="I1" s="14" t="str">
        <x:v>In vivo evidence</x:v>
      </x:c>
      <x:c r="J1" s="14" t="str">
        <x:v>Safety/toxicity</x:v>
      </x:c>
      <x:c r="K1" s="14" t="str">
        <x:v>Clinical evidence</x:v>
      </x:c>
      <x:c r="L1" s="14" t="str">
        <x:v>Evidence level</x:v>
      </x:c>
      <x:c r="M1" s="14" t="str">
        <x:v>Mechanism module tags</x:v>
      </x:c>
      <x:c r="N1" s="14" t="str">
        <x:v>PMID</x:v>
      </x:c>
      <x:c r="O1" s="14" t="str">
        <x:v>BibTeX key</x:v>
      </x:c>
      <x:c r="P1" s="14" t="str">
        <x:v>Local PDF</x:v>
      </x:c>
      <x:c r="Q1" s="14" t="str">
        <x:v>Bibliographic title</x:v>
      </x:c>
      <x:c r="R1" s="14" t="str">
        <x:v>Inclusion status</x:v>
      </x:c>
      <x:c r="S1" s="14" t="str">
        <x:v>Publication year</x:v>
      </x:c>
      <x:c r="T1" s="14" t="str">
        <x:v>PubMed publication date</x:v>
      </x:c>
      <x:c r="U1" s="14" t="str">
        <x:v>Compound name</x:v>
      </x:c>
      <x:c r="V1" s="14" t="str">
        <x:v>Source medicinal material</x:v>
      </x:c>
      <x:c r="W1" s="14" t="str">
        <x:v>TCM or Chinese materia medica association</x:v>
      </x:c>
      <x:c r="X1" s="14" t="str">
        <x:v>Type of association</x:v>
      </x:c>
      <x:c r="Y1" s="14" t="str">
        <x:v>Supporting reference</x:v>
      </x:c>
      <x:c r="Z1" s="14" t="str">
        <x:v>Material actually tested</x:v>
      </x:c>
      <x:c r="AA1" s="14" t="str">
        <x:v>Counting unit</x:v>
      </x:c>
    </x:row>
    <x:row r="2">
      <x:c r="A2" s="20" t="str">
        <x:v>Glabridin</x:v>
      </x:c>
      <x:c r="B2" s="20" t="str">
        <x:v>Flavonoids</x:v>
      </x:c>
      <x:c r="C2" s="20" t="str">
        <x:v>光果甘草</x:v>
      </x:c>
      <x:c r="D2" s="20" t="str">
        <x:v>UC/CAC小鼠模型（体内实验）</x:v>
      </x:c>
      <x:c r="E2" s="20" t="str">
        <x:v>In vivo</x:v>
      </x:c>
      <x:c r="F2" s="20" t="str">
        <x:v>not captured in source extraction</x:v>
      </x:c>
      <x:c r="G2" s="20" t="str">
        <x:v>ECM、焦点粘附、IBD、化学致癌物受体、STAT3/MMP1/MMP3轴</x:v>
      </x:c>
      <x:c r="H2" s="20" t="str">
        <x:v>抑制炎症、ECM降解、EMT、中性粒细胞迁移</x:v>
      </x:c>
      <x:c r="I2" s="20" t="str">
        <x:v>yes</x:v>
      </x:c>
      <x:c r="J2" s="20" t="str">
        <x:v>not reported</x:v>
      </x:c>
      <x:c r="K2" s="20" t="str">
        <x:v>not reported</x:v>
      </x:c>
      <x:c r="L2" s="20" t="str">
        <x:v>Contextual mixture/formulation evidence</x:v>
      </x:c>
      <x:c r="M2" s="20" t="str">
        <x:v>NF-kB/STAT3/inflammation; EMT/ECM/metastasis</x:v>
      </x:c>
      <x:c r="N2" s="20" t="str">
        <x:v>38805906</x:v>
      </x:c>
      <x:c r="O2" s="20" t="str">
        <x:v>PMID38805906</x:v>
      </x:c>
      <x:c r="P2" s="20" t="str">
        <x:v>Glabridin\1-38805906-The Glabridin from Huangqin Decoctio Source Int Immunopharmacol SO 2024.pdf</x:v>
      </x:c>
      <x:c r="Q2" s="20" t="str">
        <x:v>The Glabridin from Huangqin Decoction Prevents the Development of Ulcerative Colitis into Colitis-Associated Colorectal Cancer by Modulating MMP1/MMP3 Activity.</x:v>
      </x:c>
      <x:c r="R2" s="20" t="str">
        <x:v>Included</x:v>
      </x:c>
      <x:c r="S2" s="20" t="str">
        <x:v>2024</x:v>
      </x:c>
      <x:c r="T2" s="20" t="str">
        <x:v>2024/06/30</x:v>
      </x:c>
      <x:c r="U2" s="20" t="str">
        <x:v>Glabridin</x:v>
      </x:c>
      <x:c r="V2" s="20" t="str">
        <x:v>光果甘草</x:v>
      </x:c>
      <x:c r="W2" s="20" t="str">
        <x:v>Potentially traceable—named Chinese medicinal material recorded</x:v>
      </x:c>
      <x:c r="X2" s="20" t="str">
        <x:v>Named medicinal material in source extraction; author verification required</x:v>
      </x:c>
      <x:c r="Y2" s="20" t="str">
        <x:v>PMID 38805906; PMID38805906</x:v>
      </x:c>
      <x:c r="Z2" s="20" t="str">
        <x:v>Extract/formula/decoction contextual evidence</x:v>
      </x:c>
      <x:c r="AA2" s="20" t="str">
        <x:v>Row-level annotation; deduplicate by PMID for final reference-level counts</x:v>
      </x:c>
    </x:row>
    <x:row r="3">
      <x:c r="A3" s="20" t="str">
        <x:v>Glabridin</x:v>
      </x:c>
      <x:c r="B3" s="20" t="str">
        <x:v>Flavonoids</x:v>
      </x:c>
      <x:c r="C3" s="20" t="str">
        <x:v>光果甘草</x:v>
      </x:c>
      <x:c r="D3" s="20" t="str">
        <x:v>not reported</x:v>
      </x:c>
      <x:c r="E3" s="20" t="str">
        <x:v>Not specified</x:v>
      </x:c>
      <x:c r="F3" s="20" t="str">
        <x:v>not captured in source extraction</x:v>
      </x:c>
      <x:c r="G3" s="20" t="str">
        <x:v>not reported</x:v>
      </x:c>
      <x:c r="H3" s="20" t="str">
        <x:v>not reported</x:v>
      </x:c>
      <x:c r="I3" s="20" t="str">
        <x:v>not captured</x:v>
      </x:c>
      <x:c r="J3" s="20" t="str">
        <x:v>not reported</x:v>
      </x:c>
      <x:c r="K3" s="20" t="str">
        <x:v>not reported</x:v>
      </x:c>
      <x:c r="L3" s="20" t="str">
        <x:v>Excluded: insufficient extractable evidence</x:v>
      </x:c>
      <x:c r="M3" s="20" t="str">
        <x:v>Apoptosis/cell cycle; EMT/ECM/metastasis</x:v>
      </x:c>
      <x:c r="N3" s="20" t="str">
        <x:v>36644579</x:v>
      </x:c>
      <x:c r="O3" s="20" t="str">
        <x:v>PMID36644579</x:v>
      </x:c>
      <x:c r="P3" s="20" t="str">
        <x:v>Glabridin\2-36644579-Investigation of the Effects of Glab Source Oxid Med Cell Longev SO 2023.pdf</x:v>
      </x:c>
      <x:c r="Q3" s="20" t="str">
        <x:v>Investigation of the Effects of Glabridin on the Proliferation, Apoptosis, and Migration of the Human Colon Cancer Cell Lines SW480 and SW620 and Its Mechanism Based on Reverse Virtual Screening and Proteomics.</x:v>
      </x:c>
      <x:c r="R3" s="20" t="str">
        <x:v>Excluded: insufficient extractable evidence</x:v>
      </x:c>
      <x:c r="S3" s="20" t="str">
        <x:v>2023</x:v>
      </x:c>
      <x:c r="T3" s="20" t="str">
        <x:v>2023/01/05</x:v>
      </x:c>
      <x:c r="U3" s="20" t="str">
        <x:v>Glabridin</x:v>
      </x:c>
      <x:c r="V3" s="20" t="str">
        <x:v>光果甘草</x:v>
      </x:c>
      <x:c r="W3" s="20" t="str">
        <x:v>Potentially traceable—named Chinese medicinal material recorded</x:v>
      </x:c>
      <x:c r="X3" s="20" t="str">
        <x:v>Named medicinal material in source extraction; author verification required</x:v>
      </x:c>
      <x:c r="Y3" s="20" t="str">
        <x:v>PMID 36644579; PMID36644579</x:v>
      </x:c>
      <x:c r="Z3" s="20" t="str">
        <x:v>Not assessed for final attribution (excluded record)</x:v>
      </x:c>
      <x:c r="AA3" s="20" t="str">
        <x:v>Row-level annotation; deduplicate by PMID for final reference-level counts</x:v>
      </x:c>
    </x:row>
    <x:row r="4">
      <x:c r="A4" s="20" t="str">
        <x:v>Glabridin</x:v>
      </x:c>
      <x:c r="B4" s="20" t="str">
        <x:v>Flavonoids</x:v>
      </x:c>
      <x:c r="C4" s="20" t="str">
        <x:v>甘草</x:v>
      </x:c>
      <x:c r="D4" s="20" t="str">
        <x:v>not reported</x:v>
      </x:c>
      <x:c r="E4" s="20" t="str">
        <x:v>Not specified</x:v>
      </x:c>
      <x:c r="F4" s="20" t="str">
        <x:v>not captured in source extraction</x:v>
      </x:c>
      <x:c r="G4" s="20" t="str">
        <x:v>not reported</x:v>
      </x:c>
      <x:c r="H4" s="20" t="str">
        <x:v>抑制炎症、减少癌前病变、阻断I-D-C进程、抗CRC</x:v>
      </x:c>
      <x:c r="I4" s="20" t="str">
        <x:v>not captured</x:v>
      </x:c>
      <x:c r="J4" s="20" t="str">
        <x:v>not reported</x:v>
      </x:c>
      <x:c r="K4" s="20" t="str">
        <x:v>not reported</x:v>
      </x:c>
      <x:c r="L4" s="20" t="str">
        <x:v>Excluded: insufficient extractable evidence</x:v>
      </x:c>
      <x:c r="M4" s="20" t="str">
        <x:v>NF-kB/STAT3/inflammation</x:v>
      </x:c>
      <x:c r="N4" s="20" t="str">
        <x:v>39842555</x:v>
      </x:c>
      <x:c r="O4" s="20" t="str">
        <x:v>PMID39842555</x:v>
      </x:c>
      <x:c r="P4" s="20" t="str">
        <x:v>Glabridin\3-39842555-Potential of Glycyrrhiza in the prev Source Fitoterapia SO 2025 (1).pdf</x:v>
      </x:c>
      <x:c r="Q4" s="20" t="str">
        <x:v>Potential of Glycyrrhiza in the prevention of colitis-associated colon cancer.</x:v>
      </x:c>
      <x:c r="R4" s="20" t="str">
        <x:v>Excluded: insufficient extractable evidence</x:v>
      </x:c>
      <x:c r="S4" s="20" t="str">
        <x:v>2025</x:v>
      </x:c>
      <x:c r="T4" s="20" t="str">
        <x:v>2025/03/01</x:v>
      </x:c>
      <x:c r="U4" s="20" t="str">
        <x:v>Glabridin</x:v>
      </x:c>
      <x:c r="V4" s="20" t="str">
        <x:v>甘草</x:v>
      </x:c>
      <x:c r="W4" s="20" t="str">
        <x:v>Potentially traceable—named Chinese medicinal material recorded</x:v>
      </x:c>
      <x:c r="X4" s="20" t="str">
        <x:v>Named medicinal material in source extraction; author verification required</x:v>
      </x:c>
      <x:c r="Y4" s="20" t="str">
        <x:v>PMID 39842555; PMID39842555</x:v>
      </x:c>
      <x:c r="Z4" s="20" t="str">
        <x:v>Not assessed for final attribution (excluded record)</x:v>
      </x:c>
      <x:c r="AA4" s="20" t="str">
        <x:v>Row-level annotation; deduplicate by PMID for final reference-level counts</x:v>
      </x:c>
    </x:row>
    <x:row r="5">
      <x:c r="A5" s="20" t="str">
        <x:v>Luteolin</x:v>
      </x:c>
      <x:c r="B5" s="20" t="str">
        <x:v>Flavonoids</x:v>
      </x:c>
      <x:c r="C5" s="20" t="str">
        <x:v>芪芩胡菖方</x:v>
      </x:c>
      <x:c r="D5" s="20" t="str">
        <x:v>计算机模拟（分子对接）</x:v>
      </x:c>
      <x:c r="E5" s="20" t="str">
        <x:v>Network/in silico</x:v>
      </x:c>
      <x:c r="F5" s="20" t="str">
        <x:v>not captured in source extraction</x:v>
      </x:c>
      <x:c r="G5" s="20" t="str">
        <x:v>JNK (P383ELJ)、PTGS2 (1R3C)</x:v>
      </x:c>
      <x:c r="H5" s="20" t="str">
        <x:v>抑制炎症、抗血管生成、诱导凋亡</x:v>
      </x:c>
      <x:c r="I5" s="20" t="str">
        <x:v>not captured</x:v>
      </x:c>
      <x:c r="J5" s="20" t="str">
        <x:v>not reported</x:v>
      </x:c>
      <x:c r="K5" s="20" t="str">
        <x:v>not reported</x:v>
      </x:c>
      <x:c r="L5" s="20" t="str">
        <x:v>Contextual mixture/formulation evidence</x:v>
      </x:c>
      <x:c r="M5" s="20" t="str">
        <x:v>Apoptosis/cell cycle; NF-kB/STAT3/inflammation; MAPK/JNK/ERK</x:v>
      </x:c>
      <x:c r="N5" s="20" t="str">
        <x:v>37852337</x:v>
      </x:c>
      <x:c r="O5" s="20" t="str">
        <x:v>PMID37852337</x:v>
      </x:c>
      <x:c r="P5" s="20" t="str">
        <x:v>Kaempferol\48-37852337-A network pharmacology approach and Source J Ethnopharmacol SO 2023.pdf</x:v>
      </x:c>
      <x:c r="Q5" s="20" t="str">
        <x:v>A network pharmacology approach and experimental validation to investigate the anticancer mechanism of Qi-Qin-Hu-Chang formula against colitis-associated colorectal cancer through induction of apoptosis via JNK/p38 MAPK signaling pathway.</x:v>
      </x:c>
      <x:c r="R5" s="20" t="str">
        <x:v>Included</x:v>
      </x:c>
      <x:c r="S5" s="20" t="str">
        <x:v>2024</x:v>
      </x:c>
      <x:c r="T5" s="20" t="str">
        <x:v>2024/01/30</x:v>
      </x:c>
      <x:c r="U5" s="20" t="str">
        <x:v>Luteolin</x:v>
      </x:c>
      <x:c r="V5" s="20" t="str">
        <x:v>芪芩胡菖方</x:v>
      </x:c>
      <x:c r="W5" s="20" t="str">
        <x:v>Source-dependent—named Chinese medicinal material or TCM preparation recorded</x:v>
      </x:c>
      <x:c r="X5" s="20" t="str">
        <x:v>Requires source-level constituent verification for the specific record</x:v>
      </x:c>
      <x:c r="Y5" s="20" t="str">
        <x:v>PMID 37852337; PMID37852337</x:v>
      </x:c>
      <x:c r="Z5" s="20" t="str">
        <x:v>Extract/formula/decoction contextual evidence</x:v>
      </x:c>
      <x:c r="AA5" s="20" t="str">
        <x:v>Row-level annotation; deduplicate by PMID for final reference-level counts</x:v>
      </x:c>
    </x:row>
    <x:row r="6">
      <x:c r="A6" s="20" t="str">
        <x:v>Luteolin</x:v>
      </x:c>
      <x:c r="B6" s="20" t="str">
        <x:v>Flavonoids</x:v>
      </x:c>
      <x:c r="C6" s="20" t="str">
        <x:v>金银花、芹菜、胡椒、西兰花、胡萝卜、黄芪和当归</x:v>
      </x:c>
      <x:c r="D6" s="20" t="str">
        <x:v>not reported</x:v>
      </x:c>
      <x:c r="E6" s="20" t="str">
        <x:v>Not specified</x:v>
      </x:c>
      <x:c r="F6" s="20" t="str">
        <x:v>not captured in source extraction</x:v>
      </x:c>
      <x:c r="G6" s="20" t="str">
        <x:v>调节免疫细胞分化、减轻炎症和氧化应激、调节肠道菌群以及恢复肠粘膜屏障功能的分子机制和信号通路</x:v>
      </x:c>
      <x:c r="H6" s="20" t="str">
        <x:v>抑制癌细胞增殖、诱导细胞凋亡以及抑制细胞迁移和侵袭</x:v>
      </x:c>
      <x:c r="I6" s="20" t="str">
        <x:v>not captured</x:v>
      </x:c>
      <x:c r="J6" s="20" t="str">
        <x:v>not reported</x:v>
      </x:c>
      <x:c r="K6" s="20" t="str">
        <x:v>not reported</x:v>
      </x:c>
      <x:c r="L6" s="20" t="str">
        <x:v>Contextual review-only</x:v>
      </x:c>
      <x:c r="M6" s="20" t="str">
        <x:v>Apoptosis/cell cycle; NF-kB/STAT3/inflammation; ROS/ferroptosis; EMT/ECM/metastasis; Immune microenvironment</x:v>
      </x:c>
      <x:c r="N6" s="20" t="str">
        <x:v>39996847</x:v>
      </x:c>
      <x:c r="O6" s="20" t="str">
        <x:v>PMID39996847</x:v>
      </x:c>
      <x:c r="P6" s="20" t="str">
        <x:v>Luteolin\5-39996847-luteolin in inflammatory bowel diseaso 2025.pdf</x:v>
      </x:c>
      <x:c r="Q6" s="20" t="str">
        <x:v>Luteolin in Inflammatory Bowel Disease and Colorectal Cancer: A Disease Continuum Perspective.</x:v>
      </x:c>
      <x:c r="R6" s="20" t="str">
        <x:v>Included</x:v>
      </x:c>
      <x:c r="S6" s="20" t="str">
        <x:v>2025</x:v>
      </x:c>
      <x:c r="T6" s="20" t="str">
        <x:v>2025/02/14</x:v>
      </x:c>
      <x:c r="U6" s="20" t="str">
        <x:v>Luteolin</x:v>
      </x:c>
      <x:c r="V6" s="20" t="str">
        <x:v>金银花、芹菜、胡椒、西兰花、胡萝卜、黄芪和当归</x:v>
      </x:c>
      <x:c r="W6" s="20" t="str">
        <x:v>Source-dependent—named Chinese medicinal material or TCM preparation recorded</x:v>
      </x:c>
      <x:c r="X6" s="20" t="str">
        <x:v>Requires source-level constituent verification for the specific record</x:v>
      </x:c>
      <x:c r="Y6" s="20" t="str">
        <x:v>PMID 39996847; PMID39996847</x:v>
      </x:c>
      <x:c r="Z6" s="20" t="str">
        <x:v>Review/background evidence</x:v>
      </x:c>
      <x:c r="AA6" s="20" t="str">
        <x:v>Row-level annotation; deduplicate by PMID for final reference-level counts</x:v>
      </x:c>
    </x:row>
    <x:row r="7">
      <x:c r="A7" s="20" t="str">
        <x:v>Luteolin</x:v>
      </x:c>
      <x:c r="B7" s="20" t="str">
        <x:v>Flavonoids</x:v>
      </x:c>
      <x:c r="C7" s="20" t="str">
        <x:v>橄榄油、草药（鼠尾草、百里香、迷迭香）和其他食物（扁豆、开心果、橄榄、朝鲜蓟）</x:v>
      </x:c>
      <x:c r="D7" s="20" t="str">
        <x:v>HCT116、HT-29、T84 三种人结直肠癌细胞系</x:v>
      </x:c>
      <x:c r="E7" s="20" t="str">
        <x:v>In vitro</x:v>
      </x:c>
      <x:c r="F7" s="20" t="str">
        <x:v>not captured in source extraction</x:v>
      </x:c>
      <x:c r="G7" s="20" t="str">
        <x:v>减少 TNF-α、IL-1、IL-6 以及 NO 和 IL-1β 表达</x:v>
      </x:c>
      <x:c r="H7" s="20" t="str">
        <x:v>抗伤害和吗啡增强作用</x:v>
      </x:c>
      <x:c r="I7" s="20" t="str">
        <x:v>not captured</x:v>
      </x:c>
      <x:c r="J7" s="20" t="str">
        <x:v>not reported</x:v>
      </x:c>
      <x:c r="K7" s="20" t="str">
        <x:v>not reported</x:v>
      </x:c>
      <x:c r="L7" s="20" t="str">
        <x:v>Level 3: cell-based mechanistic evidence</x:v>
      </x:c>
      <x:c r="M7" s="20" t="str">
        <x:v>not assigned</x:v>
      </x:c>
      <x:c r="N7" s="20" t="str">
        <x:v>34649363</x:v>
      </x:c>
      <x:c r="O7" s="20" t="str">
        <x:v>PMID34649363</x:v>
      </x:c>
      <x:c r="P7" s="20" t="str">
        <x:v>Luteolin\6-34649363-ntiproliferative and palliative activity of.pdf</x:v>
      </x:c>
      <x:c r="Q7" s="20" t="str">
        <x:v>Antiproliferative and palliative activity of flavonoids in colorectal cancer.</x:v>
      </x:c>
      <x:c r="R7" s="20" t="str">
        <x:v>Included</x:v>
      </x:c>
      <x:c r="S7" s="20" t="str">
        <x:v>2021</x:v>
      </x:c>
      <x:c r="T7" s="20" t="str">
        <x:v>2021/11/01</x:v>
      </x:c>
      <x:c r="U7" s="20" t="str">
        <x:v>Luteolin</x:v>
      </x:c>
      <x:c r="V7" s="20" t="str">
        <x:v>橄榄油、草药（鼠尾草、百里香、迷迭香）和其他食物（扁豆、开心果、橄榄、朝鲜蓟）</x:v>
      </x:c>
      <x:c r="W7" s="20" t="str">
        <x:v>Not established from this row alone</x:v>
      </x:c>
      <x:c r="X7" s="20" t="str">
        <x:v>Dietary, generic botanical, or non-specific natural-product source</x:v>
      </x:c>
      <x:c r="Y7" s="20" t="str">
        <x:v>PMID 34649363; PMID34649363</x:v>
      </x:c>
      <x:c r="Z7" s="20" t="str">
        <x:v>Purified isolated compound: Luteolin</x:v>
      </x:c>
      <x:c r="AA7" s="20" t="str">
        <x:v>Row-level annotation; deduplicate by PMID for final reference-level counts</x:v>
      </x:c>
    </x:row>
    <x:row r="8">
      <x:c r="A8" s="20" t="str">
        <x:v>Luteolin</x:v>
      </x:c>
      <x:c r="B8" s="20" t="str">
        <x:v>Flavonoids</x:v>
      </x:c>
      <x:c r="C8" s="20" t="str">
        <x:v>胡萝卜、辣椒、芹菜、橄榄油、薄荷、百里香和迷迭香</x:v>
      </x:c>
      <x:c r="D8" s="20" t="str">
        <x:v>HCT116结直肠癌细胞</x:v>
      </x:c>
      <x:c r="E8" s="20" t="str">
        <x:v>In vitro</x:v>
      </x:c>
      <x:c r="F8" s="20" t="str">
        <x:v>not captured in source extraction</x:v>
      </x:c>
      <x:c r="G8" s="20" t="str">
        <x:v>not reported</x:v>
      </x:c>
      <x:c r="H8" s="20" t="str">
        <x:v>降低 HCT116 细胞活力；
与顺铂联用在多数剂量组合下呈现协同抗肿瘤效应</x:v>
      </x:c>
      <x:c r="I8" s="20" t="str">
        <x:v>not captured</x:v>
      </x:c>
      <x:c r="J8" s="20" t="str">
        <x:v>not reported</x:v>
      </x:c>
      <x:c r="K8" s="20" t="str">
        <x:v>not reported</x:v>
      </x:c>
      <x:c r="L8" s="20" t="str">
        <x:v>Level 3: cell-based mechanistic evidence</x:v>
      </x:c>
      <x:c r="M8" s="20" t="str">
        <x:v>Apoptosis/cell cycle</x:v>
      </x:c>
      <x:c r="N8" s="20" t="str">
        <x:v>36652047</x:v>
      </x:c>
      <x:c r="O8" s="20" t="str">
        <x:v>PMID36652047</x:v>
      </x:c>
      <x:c r="P8" s="20" t="str">
        <x:v>Luteolin\7-36652047-the determination of cisplatin and l source j fluoresc so 2023.pdf</x:v>
      </x:c>
      <x:c r="Q8" s="20" t="str">
        <x:v>The Determination of Cisplatin and Luteolin Synergistic Effect on Colorectal Cancer Cell Apoptosis and Mitochondrial Dysfunction by Fluorescence Labelling.</x:v>
      </x:c>
      <x:c r="R8" s="20" t="str">
        <x:v>Included</x:v>
      </x:c>
      <x:c r="S8" s="20" t="str">
        <x:v>2023</x:v>
      </x:c>
      <x:c r="T8" s="20" t="str">
        <x:v>2023/05/01</x:v>
      </x:c>
      <x:c r="U8" s="20" t="str">
        <x:v>Luteolin</x:v>
      </x:c>
      <x:c r="V8" s="20" t="str">
        <x:v>胡萝卜、辣椒、芹菜、橄榄油、薄荷、百里香和迷迭香</x:v>
      </x:c>
      <x:c r="W8" s="20" t="str">
        <x:v>Not established from this row alone</x:v>
      </x:c>
      <x:c r="X8" s="20" t="str">
        <x:v>Dietary, generic botanical, or non-specific natural-product source</x:v>
      </x:c>
      <x:c r="Y8" s="20" t="str">
        <x:v>PMID 36652047; PMID36652047</x:v>
      </x:c>
      <x:c r="Z8" s="20" t="str">
        <x:v>Purified isolated compound: Luteolin</x:v>
      </x:c>
      <x:c r="AA8" s="20" t="str">
        <x:v>Row-level annotation; deduplicate by PMID for final reference-level counts</x:v>
      </x:c>
    </x:row>
    <x:row r="9">
      <x:c r="A9" s="20" t="str">
        <x:v>Luteolin</x:v>
      </x:c>
      <x:c r="B9" s="20" t="str">
        <x:v>Flavonoids</x:v>
      </x:c>
      <x:c r="C9" s="20" t="str">
        <x:v>药用植物</x:v>
      </x:c>
      <x:c r="D9" s="20" t="str">
        <x:v>not reported</x:v>
      </x:c>
      <x:c r="E9" s="20" t="str">
        <x:v>Not specified</x:v>
      </x:c>
      <x:c r="F9" s="20" t="str">
        <x:v>not captured in source extraction</x:v>
      </x:c>
      <x:c r="G9" s="20" t="str">
        <x:v>not reported</x:v>
      </x:c>
      <x:c r="H9" s="20" t="str">
        <x:v>抑制增殖、诱导凋亡</x:v>
      </x:c>
      <x:c r="I9" s="20" t="str">
        <x:v>not captured</x:v>
      </x:c>
      <x:c r="J9" s="20" t="str">
        <x:v>not reported</x:v>
      </x:c>
      <x:c r="K9" s="20" t="str">
        <x:v>not reported</x:v>
      </x:c>
      <x:c r="L9" s="20" t="str">
        <x:v>Contextual review-only</x:v>
      </x:c>
      <x:c r="M9" s="20" t="str">
        <x:v>Apoptosis/cell cycle</x:v>
      </x:c>
      <x:c r="N9" s="20" t="str">
        <x:v>35820317</x:v>
      </x:c>
      <x:c r="O9" s="20" t="str">
        <x:v>PMID35820317</x:v>
      </x:c>
      <x:c r="P9" s="20" t="str">
        <x:v>Kaempferol\52-35820317-Plant derived bioactive compounds in Source Biomed Pharmacother SO 2022 (1).pdf</x:v>
      </x:c>
      <x:c r="Q9" s="20" t="str">
        <x:v>Plant-derived bioactive compounds in colon cancer treatment: An updated review.</x:v>
      </x:c>
      <x:c r="R9" s="20" t="str">
        <x:v>Included</x:v>
      </x:c>
      <x:c r="S9" s="20" t="str">
        <x:v>2022</x:v>
      </x:c>
      <x:c r="T9" s="20" t="str">
        <x:v>2022/09/01</x:v>
      </x:c>
      <x:c r="U9" s="20" t="str">
        <x:v>Luteolin</x:v>
      </x:c>
      <x:c r="V9" s="20" t="str">
        <x:v>药用植物</x:v>
      </x:c>
      <x:c r="W9" s="20" t="str">
        <x:v>Not established from this row alone</x:v>
      </x:c>
      <x:c r="X9" s="20" t="str">
        <x:v>Dietary, generic botanical, or non-specific natural-product source</x:v>
      </x:c>
      <x:c r="Y9" s="20" t="str">
        <x:v>PMID 35820317; PMID35820317</x:v>
      </x:c>
      <x:c r="Z9" s="20" t="str">
        <x:v>Review/background evidence</x:v>
      </x:c>
      <x:c r="AA9" s="20" t="str">
        <x:v>Row-level annotation; deduplicate by PMID for final reference-level counts</x:v>
      </x:c>
    </x:row>
    <x:row r="10">
      <x:c r="A10" s="20" t="str">
        <x:v>Luteolin</x:v>
      </x:c>
      <x:c r="B10" s="20" t="str">
        <x:v>Flavonoids</x:v>
      </x:c>
      <x:c r="C10" s="20" t="str">
        <x:v>蔬菜和水果</x:v>
      </x:c>
      <x:c r="D10" s="20" t="str">
        <x:v>AOM+DSS诱导的大鼠结直肠癌模型，40只分4组，ip给药</x:v>
      </x:c>
      <x:c r="E10" s="20" t="str">
        <x:v>In vivo</x:v>
      </x:c>
      <x:c r="F10" s="20" t="str">
        <x:v>not captured in source extraction</x:v>
      </x:c>
      <x:c r="G10" s="20" t="str">
        <x:v>not reported</x:v>
      </x:c>
      <x:c r="H10" s="20" t="str">
        <x:v>调节肠道微生物群和减少肿瘤数量</x:v>
      </x:c>
      <x:c r="I10" s="20" t="str">
        <x:v>yes</x:v>
      </x:c>
      <x:c r="J10" s="20" t="str">
        <x:v>not reported</x:v>
      </x:c>
      <x:c r="K10" s="20" t="str">
        <x:v>not reported</x:v>
      </x:c>
      <x:c r="L10" s="20" t="str">
        <x:v>Level 2: in vivo evidence</x:v>
      </x:c>
      <x:c r="M10" s="20" t="str">
        <x:v>not assigned</x:v>
      </x:c>
      <x:c r="N10" s="20" t="str">
        <x:v>38674851</x:v>
      </x:c>
      <x:c r="O10" s="20" t="str">
        <x:v>PMID38674851</x:v>
      </x:c>
      <x:c r="P10" s="20" t="str">
        <x:v>Luteolin\9-38674851-antitumor effect and gut microbiota.pdf</x:v>
      </x:c>
      <x:c r="Q10" s="20" t="str">
        <x:v>Antitumor Effect and Gut Microbiota Modulation by Quercetin, Luteolin, and Xanthohumol in a Rat Model for Colorectal Cancer Prevention.</x:v>
      </x:c>
      <x:c r="R10" s="20" t="str">
        <x:v>Included</x:v>
      </x:c>
      <x:c r="S10" s="20" t="str">
        <x:v>2024</x:v>
      </x:c>
      <x:c r="T10" s="20" t="str">
        <x:v>2024/04/13</x:v>
      </x:c>
      <x:c r="U10" s="20" t="str">
        <x:v>Luteolin</x:v>
      </x:c>
      <x:c r="V10" s="20" t="str">
        <x:v>蔬菜和水果</x:v>
      </x:c>
      <x:c r="W10" s="20" t="str">
        <x:v>Not established from this row alone</x:v>
      </x:c>
      <x:c r="X10" s="20" t="str">
        <x:v>Dietary, generic botanical, or non-specific natural-product source</x:v>
      </x:c>
      <x:c r="Y10" s="20" t="str">
        <x:v>PMID 38674851; PMID38674851</x:v>
      </x:c>
      <x:c r="Z10" s="20" t="str">
        <x:v>Extract/formula/decoction contextual evidence</x:v>
      </x:c>
      <x:c r="AA10" s="20" t="str">
        <x:v>Row-level annotation; deduplicate by PMID for final reference-level counts</x:v>
      </x:c>
    </x:row>
    <x:row r="11">
      <x:c r="A11" s="20" t="str">
        <x:v>Luteolin</x:v>
      </x:c>
      <x:c r="B11" s="20" t="str">
        <x:v>Flavonoids</x:v>
      </x:c>
      <x:c r="C11" s="20" t="str">
        <x:v>植物药物</x:v>
      </x:c>
      <x:c r="D11" s="20" t="str">
        <x:v>引用
细胞系：HCT116、HT-29、SW480 等人结直肠癌细胞
动物模型：裸鼠异种移植瘤模型</x:v>
      </x:c>
      <x:c r="E11" s="20" t="str">
        <x:v>In vitro + in vivo</x:v>
      </x:c>
      <x:c r="F11" s="20" t="str">
        <x:v>not captured in source extraction</x:v>
      </x:c>
      <x:c r="G11" s="20" t="str">
        <x:v>抑制PI3K/Akt/mTOR信号通路
诱导线粒体依赖性凋亡
阻滞细胞周期于G2/M期
抑制STAT3/NF-κB炎症通路</x:v>
      </x:c>
      <x:c r="H11" s="20" t="str">
        <x:v>抑制增殖、抑制转移、诱导凋亡</x:v>
      </x:c>
      <x:c r="I11" s="20" t="str">
        <x:v>not captured</x:v>
      </x:c>
      <x:c r="J11" s="20" t="str">
        <x:v>not reported</x:v>
      </x:c>
      <x:c r="K11" s="20" t="str">
        <x:v>not reported</x:v>
      </x:c>
      <x:c r="L11" s="20" t="str">
        <x:v>Contextual review-only</x:v>
      </x:c>
      <x:c r="M11" s="20" t="str">
        <x:v>Apoptosis/cell cycle; PI3K/Akt/mTOR/metabolism; NF-kB/STAT3/inflammation; EMT/ECM/metastasis</x:v>
      </x:c>
      <x:c r="N11" s="20" t="str">
        <x:v>40488304</x:v>
      </x:c>
      <x:c r="O11" s="20" t="str">
        <x:v>PMID40488304</x:v>
      </x:c>
      <x:c r="P11" s="20" t="str">
        <x:v>Kaempferol\56-40488304-Herbal Medicine for Colorectal Cance Source Cell Prolif SO 2025 (1).pdf</x:v>
      </x:c>
      <x:c r="Q11" s="20" t="str">
        <x:v>Herbal Medicine for Colorectal Cancer Treatment: Molecular Mechanisms and Clinical Applications.</x:v>
      </x:c>
      <x:c r="R11" s="20" t="str">
        <x:v>Included</x:v>
      </x:c>
      <x:c r="S11" s="20" t="str">
        <x:v>2025</x:v>
      </x:c>
      <x:c r="T11" s="20" t="str">
        <x:v>2025/10/01</x:v>
      </x:c>
      <x:c r="U11" s="20" t="str">
        <x:v>Luteolin</x:v>
      </x:c>
      <x:c r="V11" s="20" t="str">
        <x:v>植物药物</x:v>
      </x:c>
      <x:c r="W11" s="20" t="str">
        <x:v>Not established from this row alone</x:v>
      </x:c>
      <x:c r="X11" s="20" t="str">
        <x:v>Dietary, generic botanical, or non-specific natural-product source</x:v>
      </x:c>
      <x:c r="Y11" s="20" t="str">
        <x:v>PMID 40488304; PMID40488304</x:v>
      </x:c>
      <x:c r="Z11" s="20" t="str">
        <x:v>Review/background evidence</x:v>
      </x:c>
      <x:c r="AA11" s="20" t="str">
        <x:v>Row-level annotation; deduplicate by PMID for final reference-level counts</x:v>
      </x:c>
    </x:row>
    <x:row r="12">
      <x:c r="A12" s="20" t="str">
        <x:v>Luteolin</x:v>
      </x:c>
      <x:c r="B12" s="20" t="str">
        <x:v>Flavonoids</x:v>
      </x:c>
      <x:c r="C12" s="20" t="str">
        <x:v>白术</x:v>
      </x:c>
      <x:c r="D12" s="20" t="str">
        <x:v>细胞模型：结直肠癌（CRC）细胞系
分子模型：基于生物信息学筛选的4个枢纽基因（MMP3, MMP9, TIMP1, VEGFA）构建预后模型</x:v>
      </x:c>
      <x:c r="E12" s="20" t="str">
        <x:v>In vitro</x:v>
      </x:c>
      <x:c r="F12" s="20" t="str">
        <x:v>not captured in source extraction</x:v>
      </x:c>
      <x:c r="G12" s="20" t="str">
        <x:v>调控 MMP3、MMP9、TIMP1、VEGFA 表达</x:v>
      </x:c>
      <x:c r="H12" s="20" t="str">
        <x:v>抑制CRC细胞活力；
抑制细胞增殖；
抑制细胞迁移能力；
下调MMP3、MMP9、TIMP1、VEGFA mRNA表达</x:v>
      </x:c>
      <x:c r="I12" s="20" t="str">
        <x:v>not captured</x:v>
      </x:c>
      <x:c r="J12" s="20" t="str">
        <x:v>not reported</x:v>
      </x:c>
      <x:c r="K12" s="20" t="str">
        <x:v>not reported</x:v>
      </x:c>
      <x:c r="L12" s="20" t="str">
        <x:v>Level 3: cell-based mechanistic evidence</x:v>
      </x:c>
      <x:c r="M12" s="20" t="str">
        <x:v>EMT/ECM/metastasis</x:v>
      </x:c>
      <x:c r="N12" s="20" t="str">
        <x:v>39177661</x:v>
      </x:c>
      <x:c r="O12" s="20" t="str">
        <x:v>not available</x:v>
      </x:c>
      <x:c r="P12" s="20" t="str">
        <x:v>Luteolin\11-39177661-Elucidation of the anti colorectal c Source Aging Albany NY SO 2024.pdf</x:v>
      </x:c>
      <x:c r="Q12" s="20" t="str">
        <x:v>not retained - incomplete bibliographic metadata</x:v>
      </x:c>
      <x:c r="R12" s="20" t="str">
        <x:v>Excluded: incomplete bibliographic title requiring verification</x:v>
      </x:c>
      <x:c r="S12" s="20" t="str">
        <x:v>2024</x:v>
      </x:c>
      <x:c r="T12" s="20" t="str">
        <x:v>2024/08/22</x:v>
      </x:c>
      <x:c r="U12" s="20" t="str">
        <x:v>Luteolin</x:v>
      </x:c>
      <x:c r="V12" s="20" t="str">
        <x:v>白术</x:v>
      </x:c>
      <x:c r="W12" s="20" t="str">
        <x:v>Source-dependent—named Chinese medicinal material or TCM preparation recorded</x:v>
      </x:c>
      <x:c r="X12" s="20" t="str">
        <x:v>Requires source-level constituent verification for the specific record</x:v>
      </x:c>
      <x:c r="Y12" s="20" t="str">
        <x:v>PMID 39177661; not available</x:v>
      </x:c>
      <x:c r="Z12" s="20" t="str">
        <x:v>Not assessed for final attribution (excluded record)</x:v>
      </x:c>
      <x:c r="AA12" s="20" t="str">
        <x:v>Row-level annotation; deduplicate by PMID for final reference-level counts</x:v>
      </x:c>
    </x:row>
    <x:row r="13">
      <x:c r="A13" s="20" t="str">
        <x:v>Luteolin</x:v>
      </x:c>
      <x:c r="B13" s="20" t="str">
        <x:v>Flavonoids</x:v>
      </x:c>
      <x:c r="C13" s="20" t="str">
        <x:v>各种草药植物</x:v>
      </x:c>
      <x:c r="D13" s="20" t="str">
        <x:v>Colon cancer cells and MC38 syngeneic mouse model (verified in local PDF)</x:v>
      </x:c>
      <x:c r="E13" s="20" t="str">
        <x:v>In vitro + in vivo</x:v>
      </x:c>
      <x:c r="F13" s="20" t="str">
        <x:v>not captured in source extraction</x:v>
      </x:c>
      <x:c r="G13" s="20" t="str">
        <x:v>通过直接结合并抑制 GPX4，诱导铁死亡（ROS↑, Fe²⁺↑, 脂质过氧化↑, GSH↓），进而促进 M1 巨噬细胞极化和 CD8⁺ T 细胞活化</x:v>
      </x:c>
      <x:c r="H13" s="20" t="str">
        <x:v>抑制增殖、诱导铁死亡、激活抗肿瘤免疫</x:v>
      </x:c>
      <x:c r="I13" s="20" t="str">
        <x:v>not captured</x:v>
      </x:c>
      <x:c r="J13" s="20" t="str">
        <x:v>not reported</x:v>
      </x:c>
      <x:c r="K13" s="20" t="str">
        <x:v>not reported</x:v>
      </x:c>
      <x:c r="L13" s="20" t="str">
        <x:v>Level 1: animal-validated mechanistic evidence</x:v>
      </x:c>
      <x:c r="M13" s="20" t="str">
        <x:v>ROS/ferroptosis; Immune microenvironment</x:v>
      </x:c>
      <x:c r="N13" s="20" t="str">
        <x:v>40812220</x:v>
      </x:c>
      <x:c r="O13" s="20" t="str">
        <x:v>PMID40812220</x:v>
      </x:c>
      <x:c r="P13" s="20" t="str">
        <x:v>Luteolin\12-40812220-Luteolin Induces GPX4 dependent Ferr Source Phytomedicine SO 2025.pdf</x:v>
      </x:c>
      <x:c r="Q13" s="20" t="str">
        <x:v>Luteolin Induces GPX4-dependent Ferroptosis and Enhances Immune Activation in Colon Cancer.</x:v>
      </x:c>
      <x:c r="R13" s="20" t="str">
        <x:v>Included</x:v>
      </x:c>
      <x:c r="S13" s="20" t="str">
        <x:v>2025</x:v>
      </x:c>
      <x:c r="T13" s="20" t="str">
        <x:v>2025/10/01</x:v>
      </x:c>
      <x:c r="U13" s="20" t="str">
        <x:v>Luteolin</x:v>
      </x:c>
      <x:c r="V13" s="20" t="str">
        <x:v>各种草药植物</x:v>
      </x:c>
      <x:c r="W13" s="20" t="str">
        <x:v>Not established from this row alone</x:v>
      </x:c>
      <x:c r="X13" s="20" t="str">
        <x:v>Dietary, generic botanical, or non-specific natural-product source</x:v>
      </x:c>
      <x:c r="Y13" s="20" t="str">
        <x:v>PMID 40812220; PMID40812220</x:v>
      </x:c>
      <x:c r="Z13" s="20" t="str">
        <x:v>Purified isolated compound: Luteolin</x:v>
      </x:c>
      <x:c r="AA13" s="20" t="str">
        <x:v>Row-level annotation; deduplicate by PMID for final reference-level counts</x:v>
      </x:c>
    </x:row>
    <x:row r="14">
      <x:c r="A14" s="20" t="str">
        <x:v>Luteolin</x:v>
      </x:c>
      <x:c r="B14" s="20" t="str">
        <x:v>Flavonoids</x:v>
      </x:c>
      <x:c r="C14" s="20" t="str">
        <x:v>芹菜、欧芹、紫苏叶、辣椒和橙子</x:v>
      </x:c>
      <x:c r="D14" s="20" t="str">
        <x:v>HCT116 结肠癌细胞</x:v>
      </x:c>
      <x:c r="E14" s="20" t="str">
        <x:v>In vitro</x:v>
      </x:c>
      <x:c r="F14" s="20" t="str">
        <x:v>10-20 µM luteolin (HCT116; PDF abstract)</x:v>
      </x:c>
      <x:c r="G14" s="20" t="str">
        <x:v>p53 依赖性途径</x:v>
      </x:c>
      <x:c r="H14" s="20" t="str">
        <x:v>诱导细胞凋亡和自噬</x:v>
      </x:c>
      <x:c r="I14" s="20" t="str">
        <x:v>not captured</x:v>
      </x:c>
      <x:c r="J14" s="20" t="str">
        <x:v>not reported</x:v>
      </x:c>
      <x:c r="K14" s="20" t="str">
        <x:v>not reported</x:v>
      </x:c>
      <x:c r="L14" s="20" t="str">
        <x:v>Level 3: cell-based mechanistic evidence</x:v>
      </x:c>
      <x:c r="M14" s="20" t="str">
        <x:v>Apoptosis/cell cycle</x:v>
      </x:c>
      <x:c r="N14" s="20" t="str">
        <x:v>33757400</x:v>
      </x:c>
      <x:c r="O14" s="20" t="str">
        <x:v>PMID33757400</x:v>
      </x:c>
      <x:c r="P14" s="20" t="str">
        <x:v>Luteolin\13-33757400-Luteolin Induces Apoptosis and Autophagy in HCT116 Colon.pdf</x:v>
      </x:c>
      <x:c r="Q14" s="20" t="str">
        <x:v>Luteolin Induces Apoptosis and Autophagy in HCT116 Colon Cancer Cells via p53-Dependent Pathway.</x:v>
      </x:c>
      <x:c r="R14" s="20" t="str">
        <x:v>Included</x:v>
      </x:c>
      <x:c r="S14" s="20" t="str">
        <x:v>2022</x:v>
      </x:c>
      <x:c r="T14" s="20" t="str">
        <x:v>2022/01/01</x:v>
      </x:c>
      <x:c r="U14" s="20" t="str">
        <x:v>Luteolin</x:v>
      </x:c>
      <x:c r="V14" s="20" t="str">
        <x:v>芹菜、欧芹、紫苏叶、辣椒和橙子</x:v>
      </x:c>
      <x:c r="W14" s="20" t="str">
        <x:v>Not established from this row alone</x:v>
      </x:c>
      <x:c r="X14" s="20" t="str">
        <x:v>Dietary, generic botanical, or non-specific natural-product source</x:v>
      </x:c>
      <x:c r="Y14" s="20" t="str">
        <x:v>PMID 33757400; PMID33757400</x:v>
      </x:c>
      <x:c r="Z14" s="20" t="str">
        <x:v>Purified isolated compound: Luteolin</x:v>
      </x:c>
      <x:c r="AA14" s="20" t="str">
        <x:v>Row-level annotation; deduplicate by PMID for final reference-level counts</x:v>
      </x:c>
    </x:row>
    <x:row r="15">
      <x:c r="A15" s="20" t="str">
        <x:v>Luteolin</x:v>
      </x:c>
      <x:c r="B15" s="20" t="str">
        <x:v>Flavonoids</x:v>
      </x:c>
      <x:c r="C15" s="20" t="str">
        <x:v>调脾安肠汤（TPACD）</x:v>
      </x:c>
      <x:c r="D15" s="20" t="str">
        <x:v>体内模型：CT26 肿瘤荷瘤小鼠；
体外细胞模型：CT26 和 HCT116 结肠癌细胞系；
分子互作验证：使用 MMP3 蛋白 与 Luteolin 进行直接结合实验；
基因表达分析：通过 qPCR 检测关键基因（包括 MMP3）在肿瘤组织中的 mRNA 表达水平（Fig. 9G）；
蛋白表达检测：Western Blot 检测 E-cadherin 和 N-cadherin（上皮-间质转化 EMT 相关标志物）。</x:v>
      </x:c>
      <x:c r="E15" s="20" t="str">
        <x:v>In vitro + in vivo</x:v>
      </x:c>
      <x:c r="F15" s="20" t="str">
        <x:v>not captured in source extraction</x:v>
      </x:c>
      <x:c r="G15" s="20" t="str">
        <x:v>直接靶点：MMP3；
间接靶点：E-cadherin上调；
N-cadherin下调</x:v>
      </x:c>
      <x:c r="H15" s="20" t="str">
        <x:v>抑制肿瘤细胞迁移与侵袭；
抑制 MMP3 的表达与酶活性；
逆转 EMT 表型：促进上皮标志物 E-cadherin 表达，抑制间质标志物 N-cadherin；
潜在抗肿瘤转移作用</x:v>
      </x:c>
      <x:c r="I15" s="20" t="str">
        <x:v>not captured</x:v>
      </x:c>
      <x:c r="J15" s="20" t="str">
        <x:v>not reported</x:v>
      </x:c>
      <x:c r="K15" s="20" t="str">
        <x:v>not reported</x:v>
      </x:c>
      <x:c r="L15" s="20" t="str">
        <x:v>Contextual mixture/formulation evidence</x:v>
      </x:c>
      <x:c r="M15" s="20" t="str">
        <x:v>EMT/ECM/metastasis</x:v>
      </x:c>
      <x:c r="N15" s="20" t="str">
        <x:v>39002822</x:v>
      </x:c>
      <x:c r="O15" s="20" t="str">
        <x:v>PMID39002822</x:v>
      </x:c>
      <x:c r="P15" s="20" t="str">
        <x:v>Kaempferol\76-39002822-Integrating UHPLC Q TOF MS MS Netwo Source J Ethnopharmacol SO 2024 (1).pdf</x:v>
      </x:c>
      <x:c r="Q15" s="20" t="str">
        <x:v>Integrating UHPLC-Q-TOF-MS/MS, network pharmacology, bioinformatics and experimental validation to uncover the anti-cancer mechanisms of TiaoPi AnChang decoction in colorectal cancer.</x:v>
      </x:c>
      <x:c r="R15" s="20" t="str">
        <x:v>Included</x:v>
      </x:c>
      <x:c r="S15" s="20" t="str">
        <x:v>2024</x:v>
      </x:c>
      <x:c r="T15" s="20" t="str">
        <x:v>2024/11/15</x:v>
      </x:c>
      <x:c r="U15" s="20" t="str">
        <x:v>Luteolin</x:v>
      </x:c>
      <x:c r="V15" s="20" t="str">
        <x:v>调脾安肠汤（TPACD）</x:v>
      </x:c>
      <x:c r="W15" s="20" t="str">
        <x:v>Source-dependent—named Chinese medicinal material or TCM preparation recorded</x:v>
      </x:c>
      <x:c r="X15" s="20" t="str">
        <x:v>Requires source-level constituent verification for the specific record</x:v>
      </x:c>
      <x:c r="Y15" s="20" t="str">
        <x:v>PMID 39002822; PMID39002822</x:v>
      </x:c>
      <x:c r="Z15" s="20" t="str">
        <x:v>Extract/formula/decoction contextual evidence</x:v>
      </x:c>
      <x:c r="AA15" s="20" t="str">
        <x:v>Row-level annotation; deduplicate by PMID for final reference-level counts</x:v>
      </x:c>
    </x:row>
    <x:row r="16">
      <x:c r="A16" s="20" t="str">
        <x:v>Luteolin</x:v>
      </x:c>
      <x:c r="B16" s="20" t="str">
        <x:v>Flavonoids</x:v>
      </x:c>
      <x:c r="C16" s="20" t="str">
        <x:v>茶叶和各种水果（苹果和李子）、山核桃、洋葱、蔬菜和植物性饮料</x:v>
      </x:c>
      <x:c r="D16" s="20" t="str">
        <x:v>体外模型：Caco-2 / HT-29 共培养细胞系
体内模型：荷瘤小鼠</x:v>
      </x:c>
      <x:c r="E16" s="20" t="str">
        <x:v>In vitro + in vivo</x:v>
      </x:c>
      <x:c r="F16" s="20" t="str">
        <x:v>not captured in source extraction</x:v>
      </x:c>
      <x:c r="G16" s="20" t="str">
        <x:v>not reported</x:v>
      </x:c>
      <x:c r="H16" s="20" t="str">
        <x:v>消除活性氧/氮（ROS &amp; NOS）、氧化还原活性金属（Cu/Cu 和 Fe/Fe）的螯合以及下调癌症相关转录因子和氧化酶</x:v>
      </x:c>
      <x:c r="I16" s="20" t="str">
        <x:v>not captured</x:v>
      </x:c>
      <x:c r="J16" s="20" t="str">
        <x:v>not reported</x:v>
      </x:c>
      <x:c r="K16" s="20" t="str">
        <x:v>not reported</x:v>
      </x:c>
      <x:c r="L16" s="20" t="str">
        <x:v>Level 1: animal-validated mechanistic evidence</x:v>
      </x:c>
      <x:c r="M16" s="20" t="str">
        <x:v>ROS/ferroptosis</x:v>
      </x:c>
      <x:c r="N16" s="20" t="str">
        <x:v>37085076</x:v>
      </x:c>
      <x:c r="O16" s="20" t="str">
        <x:v>PMID37085076</x:v>
      </x:c>
      <x:c r="P16" s="20" t="str">
        <x:v>catechin\163-37085076-flavonoids nanostructures promising source int j biol macromol so 2023.pdf</x:v>
      </x:c>
      <x:c r="Q16" s="20" t="str">
        <x:v>Flavonoids nanostructures promising therapeutic efficiencies in colorectal cancer.</x:v>
      </x:c>
      <x:c r="R16" s="20" t="str">
        <x:v>Included</x:v>
      </x:c>
      <x:c r="S16" s="20" t="str">
        <x:v>2023</x:v>
      </x:c>
      <x:c r="T16" s="20" t="str">
        <x:v>2023/06/30</x:v>
      </x:c>
      <x:c r="U16" s="20" t="str">
        <x:v>Luteolin</x:v>
      </x:c>
      <x:c r="V16" s="20" t="str">
        <x:v>茶叶和各种水果（苹果和李子）、山核桃、洋葱、蔬菜和植物性饮料</x:v>
      </x:c>
      <x:c r="W16" s="20" t="str">
        <x:v>Not established from this row alone</x:v>
      </x:c>
      <x:c r="X16" s="20" t="str">
        <x:v>Dietary, generic botanical, or non-specific natural-product source</x:v>
      </x:c>
      <x:c r="Y16" s="20" t="str">
        <x:v>PMID 37085076; PMID37085076</x:v>
      </x:c>
      <x:c r="Z16" s="20" t="str">
        <x:v>Formulation/nanodelivery contextual evidence</x:v>
      </x:c>
      <x:c r="AA16" s="20" t="str">
        <x:v>Row-level annotation; deduplicate by PMID for final reference-level counts</x:v>
      </x:c>
    </x:row>
    <x:row r="17">
      <x:c r="A17" s="20" t="str">
        <x:v>Luteolin</x:v>
      </x:c>
      <x:c r="B17" s="20" t="str">
        <x:v>Flavonoids</x:v>
      </x:c>
      <x:c r="C17" s="20" t="str">
        <x:v>药材、日常饮食中食用的水果和蔬菜</x:v>
      </x:c>
      <x:c r="D17" s="20" t="str">
        <x:v>HT-29 人结肠癌细胞系（体外模型）</x:v>
      </x:c>
      <x:c r="E17" s="20" t="str">
        <x:v>In vitro</x:v>
      </x:c>
      <x:c r="F17" s="20" t="str">
        <x:v>not captured in source extraction</x:v>
      </x:c>
      <x:c r="G17" s="20" t="str">
        <x:v>血管生成、 p53、Bax、Bcl-2、p38 MAPK、mTOR、PTEN 和 Akt 蛋白和基因</x:v>
      </x:c>
      <x:c r="H17" s="20" t="str">
        <x:v>抑制增殖、诱导凋亡（8–10倍）、抑制VEGF、增强5-FU疗效</x:v>
      </x:c>
      <x:c r="I17" s="20" t="str">
        <x:v>not captured</x:v>
      </x:c>
      <x:c r="J17" s="20" t="str">
        <x:v>not reported</x:v>
      </x:c>
      <x:c r="K17" s="20" t="str">
        <x:v>not reported</x:v>
      </x:c>
      <x:c r="L17" s="20" t="str">
        <x:v>Level 3: cell-based mechanistic evidence</x:v>
      </x:c>
      <x:c r="M17" s="20" t="str">
        <x:v>Apoptosis/cell cycle; PI3K/Akt/mTOR/metabolism; MAPK/JNK/ERK</x:v>
      </x:c>
      <x:c r="N17" s="20" t="str">
        <x:v>34309458</x:v>
      </x:c>
      <x:c r="O17" s="20" t="str">
        <x:v>PMID34309458</x:v>
      </x:c>
      <x:c r="P17" s="20" t="str">
        <x:v>Luteolin\16-34309458-Quercetin and Luteolin Improve the Anticancer Effects.pdf</x:v>
      </x:c>
      <x:c r="Q17" s="20" t="str">
        <x:v>Quercetin and Luteolin Improve the Anticancer Effects of 5-Fluorouracil in Human Colorectal Adenocarcinoma In Vitro Model: A Mechanistic Insight.</x:v>
      </x:c>
      <x:c r="R17" s="20" t="str">
        <x:v>Included</x:v>
      </x:c>
      <x:c r="S17" s="20" t="str">
        <x:v>2022</x:v>
      </x:c>
      <x:c r="T17" s="20" t="str">
        <x:v>2022/01/01</x:v>
      </x:c>
      <x:c r="U17" s="20" t="str">
        <x:v>Luteolin</x:v>
      </x:c>
      <x:c r="V17" s="20" t="str">
        <x:v>药材、日常饮食中食用的水果和蔬菜</x:v>
      </x:c>
      <x:c r="W17" s="20" t="str">
        <x:v>Source-dependent—named Chinese medicinal material or TCM preparation recorded</x:v>
      </x:c>
      <x:c r="X17" s="20" t="str">
        <x:v>Requires source-level constituent verification for the specific record</x:v>
      </x:c>
      <x:c r="Y17" s="20" t="str">
        <x:v>PMID 34309458; PMID34309458</x:v>
      </x:c>
      <x:c r="Z17" s="20" t="str">
        <x:v>Purified isolated compound: Luteolin</x:v>
      </x:c>
      <x:c r="AA17" s="20" t="str">
        <x:v>Row-level annotation; deduplicate by PMID for final reference-level counts</x:v>
      </x:c>
    </x:row>
    <x:row r="18">
      <x:c r="A18" s="20" t="str">
        <x:v>Luteolin</x:v>
      </x:c>
      <x:c r="B18" s="20" t="str">
        <x:v>Flavonoids</x:v>
      </x:c>
      <x:c r="C18" s="20" t="str">
        <x:v>植物</x:v>
      </x:c>
      <x:c r="D18" s="20" t="str">
        <x:v>not reported</x:v>
      </x:c>
      <x:c r="E18" s="20" t="str">
        <x:v>Not specified</x:v>
      </x:c>
      <x:c r="F18" s="20" t="str">
        <x:v>not captured in source extraction</x:v>
      </x:c>
      <x:c r="G18" s="20" t="str">
        <x:v>人巨细胞病毒感染、人瘤病毒感染、前列腺癌和 PI3K-Akt 信号通路</x:v>
      </x:c>
      <x:c r="H18" s="20" t="str">
        <x:v>下调 AKT1、CCND1、CDKN1A、SRC、EGFR、PTEN、STAT3 和 TP53 等关键基因的表达，对 CRC 发挥治疗作用，有效抑制 CRC 细胞增殖</x:v>
      </x:c>
      <x:c r="I18" s="20" t="str">
        <x:v>not captured</x:v>
      </x:c>
      <x:c r="J18" s="20" t="str">
        <x:v>not reported</x:v>
      </x:c>
      <x:c r="K18" s="20" t="str">
        <x:v>not reported</x:v>
      </x:c>
      <x:c r="L18" s="20" t="str">
        <x:v>Level 4: in silico/contextual evidence</x:v>
      </x:c>
      <x:c r="M18" s="20" t="str">
        <x:v>PI3K/Akt/mTOR/metabolism; NF-kB/STAT3/inflammation</x:v>
      </x:c>
      <x:c r="N18" s="20" t="str">
        <x:v>39271360</x:v>
      </x:c>
      <x:c r="O18" s="20" t="str">
        <x:v>PMID39271360</x:v>
      </x:c>
      <x:c r="P18" s="20" t="str">
        <x:v>Luteolin\17-39271360-Exploration of the mechanism of lute Source Asian J Surg SO 2024.pdf</x:v>
      </x:c>
      <x:c r="Q18" s="20" t="str">
        <x:v>Exploration of the mechanism of luteolin against colorectal cancer based on network pharmacology and experimental validation.</x:v>
      </x:c>
      <x:c r="R18" s="20" t="str">
        <x:v>Included</x:v>
      </x:c>
      <x:c r="S18" s="20" t="str">
        <x:v>2024</x:v>
      </x:c>
      <x:c r="T18" s="20" t="str">
        <x:v>2024/09/12</x:v>
      </x:c>
      <x:c r="U18" s="20" t="str">
        <x:v>Luteolin</x:v>
      </x:c>
      <x:c r="V18" s="20" t="str">
        <x:v>植物</x:v>
      </x:c>
      <x:c r="W18" s="20" t="str">
        <x:v>Not established from this row alone</x:v>
      </x:c>
      <x:c r="X18" s="20" t="str">
        <x:v>Dietary, generic botanical, or non-specific natural-product source</x:v>
      </x:c>
      <x:c r="Y18" s="20" t="str">
        <x:v>PMID 39271360; PMID39271360</x:v>
      </x:c>
      <x:c r="Z18" s="20" t="str">
        <x:v>Cell-only isolated monomer evidence</x:v>
      </x:c>
      <x:c r="AA18" s="20" t="str">
        <x:v>Row-level annotation; deduplicate by PMID for final reference-level counts</x:v>
      </x:c>
    </x:row>
    <x:row r="19">
      <x:c r="A19" s="20" t="str">
        <x:v>Luteolin</x:v>
      </x:c>
      <x:c r="B19" s="20" t="str">
        <x:v>Flavonoids</x:v>
      </x:c>
      <x:c r="C19" s="20" t="str">
        <x:v>蔬菜（如西兰花、胡萝卜、芹菜和胡椒）、水果（如蓝莓、蓝莓和黑莓）和草药（如金银花、细叶五味子和日梅）</x:v>
      </x:c>
      <x:c r="D19" s="20" t="str">
        <x:v>细胞系：人结直肠癌细胞 HCT-116 和 HT-29</x:v>
      </x:c>
      <x:c r="E19" s="20" t="str">
        <x:v>In vitro</x:v>
      </x:c>
      <x:c r="F19" s="20" t="str">
        <x:v>not captured in source extraction</x:v>
      </x:c>
      <x:c r="G19" s="20" t="str">
        <x:v>MAPK 信号通路；线粒体相关通路</x:v>
      </x:c>
      <x:c r="H19" s="20" t="str">
        <x:v>抑制细胞活力；
干扰 DNA 修复能力；
诱导剂量依赖性蛋白表达变化</x:v>
      </x:c>
      <x:c r="I19" s="20" t="str">
        <x:v>not captured</x:v>
      </x:c>
      <x:c r="J19" s="20" t="str">
        <x:v>not reported</x:v>
      </x:c>
      <x:c r="K19" s="20" t="str">
        <x:v>not reported</x:v>
      </x:c>
      <x:c r="L19" s="20" t="str">
        <x:v>Level 3: cell-based mechanistic evidence</x:v>
      </x:c>
      <x:c r="M19" s="20" t="str">
        <x:v>MAPK/JNK/ERK</x:v>
      </x:c>
      <x:c r="N19" s="20" t="str">
        <x:v>35473479</x:v>
      </x:c>
      <x:c r="O19" s="20" t="str">
        <x:v>PMID35473479</x:v>
      </x:c>
      <x:c r="P19" s="20" t="str">
        <x:v>Luteolin\18-35473479-luteolin impacts deoxyribonucleic acid repair by modulating the mitog.pdf</x:v>
      </x:c>
      <x:c r="Q19" s="20" t="str">
        <x:v>Luteolin impacts deoxyribonucleic acid repair by modulating the mitogen-activated protein kinase pathway in colorectal cancer.</x:v>
      </x:c>
      <x:c r="R19" s="20" t="str">
        <x:v>Included</x:v>
      </x:c>
      <x:c r="S19" s="20" t="str">
        <x:v>2022</x:v>
      </x:c>
      <x:c r="T19" s="20" t="str">
        <x:v>2022/04/01</x:v>
      </x:c>
      <x:c r="U19" s="20" t="str">
        <x:v>Luteolin</x:v>
      </x:c>
      <x:c r="V19" s="20" t="str">
        <x:v>蔬菜（如西兰花、胡萝卜、芹菜和胡椒）、水果（如蓝莓、蓝莓和黑莓）和草药（如金银花、细叶五味子和日梅）</x:v>
      </x:c>
      <x:c r="W19" s="20" t="str">
        <x:v>Source-dependent—named Chinese medicinal material or TCM preparation recorded</x:v>
      </x:c>
      <x:c r="X19" s="20" t="str">
        <x:v>Requires source-level constituent verification for the specific record</x:v>
      </x:c>
      <x:c r="Y19" s="20" t="str">
        <x:v>PMID 35473479; PMID35473479</x:v>
      </x:c>
      <x:c r="Z19" s="20" t="str">
        <x:v>Purified isolated compound: Luteolin</x:v>
      </x:c>
      <x:c r="AA19" s="20" t="str">
        <x:v>Row-level annotation; deduplicate by PMID for final reference-level counts</x:v>
      </x:c>
    </x:row>
    <x:row r="20">
      <x:c r="A20" s="20" t="str">
        <x:v>Luteolin</x:v>
      </x:c>
      <x:c r="B20" s="20" t="str">
        <x:v>Flavonoids</x:v>
      </x:c>
      <x:c r="C20" s="20" t="str">
        <x:v>蜂胶和蜂蜜</x:v>
      </x:c>
      <x:c r="D20" s="20" t="str">
        <x:v>not reported</x:v>
      </x:c>
      <x:c r="E20" s="20" t="str">
        <x:v>Not specified</x:v>
      </x:c>
      <x:c r="F20" s="20" t="str">
        <x:v>not captured in source extraction</x:v>
      </x:c>
      <x:c r="G20" s="20" t="str">
        <x:v>not reported</x:v>
      </x:c>
      <x:c r="H20" s="20" t="str">
        <x:v>not reported</x:v>
      </x:c>
      <x:c r="I20" s="20" t="str">
        <x:v>not captured</x:v>
      </x:c>
      <x:c r="J20" s="20" t="str">
        <x:v>not reported</x:v>
      </x:c>
      <x:c r="K20" s="20" t="str">
        <x:v>not reported</x:v>
      </x:c>
      <x:c r="L20" s="20" t="str">
        <x:v>Excluded: insufficient extractable evidence</x:v>
      </x:c>
      <x:c r="M20" s="20" t="str">
        <x:v>not assigned</x:v>
      </x:c>
      <x:c r="N20" s="20" t="str">
        <x:v>37049455</x:v>
      </x:c>
      <x:c r="O20" s="20" t="str">
        <x:v>PMID37049455</x:v>
      </x:c>
      <x:c r="P20" s="20" t="str">
        <x:v>Luteolin\19-37049455-bee products and colorectal cancer a.pdf</x:v>
      </x:c>
      <x:c r="Q20" s="20" t="str">
        <x:v>Bee Products and Colorectal Cancer-Active Components and Mechanism of Action.</x:v>
      </x:c>
      <x:c r="R20" s="20" t="str">
        <x:v>Excluded: insufficient extractable evidence</x:v>
      </x:c>
      <x:c r="S20" s="20" t="str">
        <x:v>2023</x:v>
      </x:c>
      <x:c r="T20" s="20" t="str">
        <x:v>2023/03/27</x:v>
      </x:c>
      <x:c r="U20" s="20" t="str">
        <x:v>Luteolin</x:v>
      </x:c>
      <x:c r="V20" s="20" t="str">
        <x:v>蜂胶和蜂蜜</x:v>
      </x:c>
      <x:c r="W20" s="20" t="str">
        <x:v>Not established from this row alone</x:v>
      </x:c>
      <x:c r="X20" s="20" t="str">
        <x:v>Dietary, generic botanical, or non-specific natural-product source</x:v>
      </x:c>
      <x:c r="Y20" s="20" t="str">
        <x:v>PMID 37049455; PMID37049455</x:v>
      </x:c>
      <x:c r="Z20" s="20" t="str">
        <x:v>Not assessed for final attribution (excluded record)</x:v>
      </x:c>
      <x:c r="AA20" s="20" t="str">
        <x:v>Row-level annotation; deduplicate by PMID for final reference-level counts</x:v>
      </x:c>
    </x:row>
    <x:row r="21">
      <x:c r="A21" s="20" t="str">
        <x:v>Luteolin</x:v>
      </x:c>
      <x:c r="B21" s="20" t="str">
        <x:v>Flavonoids</x:v>
      </x:c>
      <x:c r="C21" s="20" t="str">
        <x:v>参芪三解颗粒</x:v>
      </x:c>
      <x:c r="D21" s="20" t="str">
        <x:v>体外：9 种不同的癌细胞系（包括 5 个 CRC 细胞系、1 个乳腺癌细胞系、2 个肺腺癌细胞系和 1 个宫颈癌细胞系）和小鼠 CRC 细胞系 CT26 
体内：皮下同基因小鼠模型和 AOM（嘧氧甲烷）/DSS（葡聚糖硫酸钠）诱导的原位结肠炎相关小鼠 CRC 模型</x:v>
      </x:c>
      <x:c r="E21" s="20" t="str">
        <x:v>In vitro + in vivo</x:v>
      </x:c>
      <x:c r="F21" s="20" t="str">
        <x:v>not captured in source extraction</x:v>
      </x:c>
      <x:c r="G21" s="20" t="str">
        <x:v>Hmox1 介导的铁死亡</x:v>
      </x:c>
      <x:c r="H21" s="20" t="str">
        <x:v>抑制 CRC 细胞系 CT26 的生长和转移，并诱导细胞死亡</x:v>
      </x:c>
      <x:c r="I21" s="20" t="str">
        <x:v>not captured</x:v>
      </x:c>
      <x:c r="J21" s="20" t="str">
        <x:v>not reported</x:v>
      </x:c>
      <x:c r="K21" s="20" t="str">
        <x:v>not reported</x:v>
      </x:c>
      <x:c r="L21" s="20" t="str">
        <x:v>Contextual mixture/formulation evidence</x:v>
      </x:c>
      <x:c r="M21" s="20" t="str">
        <x:v>ROS/ferroptosis; EMT/ECM/metastasis</x:v>
      </x:c>
      <x:c r="N21" s="20" t="str">
        <x:v>39347400</x:v>
      </x:c>
      <x:c r="O21" s="20" t="str">
        <x:v>PMID39347400</x:v>
      </x:c>
      <x:c r="P21" s="20" t="str">
        <x:v>Kaempferol\39347400-Shenqi Sanjie Granules induce Hmox1 Source Heliyon SO 2024.pdf</x:v>
      </x:c>
      <x:c r="Q21" s="20" t="str">
        <x:v>Shenqi Sanjie Granules induce Hmox1-mediated ferroptosis to inhibit colorectal cancer.</x:v>
      </x:c>
      <x:c r="R21" s="20" t="str">
        <x:v>Included</x:v>
      </x:c>
      <x:c r="S21" s="20" t="str">
        <x:v>2024</x:v>
      </x:c>
      <x:c r="T21" s="20" t="str">
        <x:v>2024/09/17</x:v>
      </x:c>
      <x:c r="U21" s="20" t="str">
        <x:v>Luteolin</x:v>
      </x:c>
      <x:c r="V21" s="20" t="str">
        <x:v>参芪三解颗粒</x:v>
      </x:c>
      <x:c r="W21" s="20" t="str">
        <x:v>Source-dependent—named Chinese medicinal material or TCM preparation recorded</x:v>
      </x:c>
      <x:c r="X21" s="20" t="str">
        <x:v>Requires source-level constituent verification for the specific record</x:v>
      </x:c>
      <x:c r="Y21" s="20" t="str">
        <x:v>PMID 39347400; PMID39347400</x:v>
      </x:c>
      <x:c r="Z21" s="20" t="str">
        <x:v>Extract/formula/decoction contextual evidence</x:v>
      </x:c>
      <x:c r="AA21" s="20" t="str">
        <x:v>Row-level annotation; deduplicate by PMID for final reference-level counts</x:v>
      </x:c>
    </x:row>
    <x:row r="22">
      <x:c r="A22" s="20" t="str">
        <x:v>Luteolin</x:v>
      </x:c>
      <x:c r="B22" s="20" t="str">
        <x:v>Flavonoids</x:v>
      </x:c>
      <x:c r="C22" s="20" t="str">
        <x:v>薏苡附子败酱散</x:v>
      </x:c>
      <x:c r="D22" s="20" t="str">
        <x:v>not reported</x:v>
      </x:c>
      <x:c r="E22" s="20" t="str">
        <x:v>Not specified</x:v>
      </x:c>
      <x:c r="F22" s="20" t="str">
        <x:v>not captured in source extraction</x:v>
      </x:c>
      <x:c r="G22" s="20" t="str">
        <x:v>PI3K-Akt 信号通路、TNF 信号通路和 IL-17 信号通路</x:v>
      </x:c>
      <x:c r="H22" s="20" t="str">
        <x:v>控制细胞凋亡、增殖以及蛋白质和酶的结合来减缓结直肠癌的进展。</x:v>
      </x:c>
      <x:c r="I22" s="20" t="str">
        <x:v>not captured</x:v>
      </x:c>
      <x:c r="J22" s="20" t="str">
        <x:v>not reported</x:v>
      </x:c>
      <x:c r="K22" s="20" t="str">
        <x:v>not reported</x:v>
      </x:c>
      <x:c r="L22" s="20" t="str">
        <x:v>Contextual mixture/formulation evidence</x:v>
      </x:c>
      <x:c r="M22" s="20" t="str">
        <x:v>Apoptosis/cell cycle; PI3K/Akt/mTOR/metabolism; MAPK/JNK/ERK</x:v>
      </x:c>
      <x:c r="N22" s="20" t="str">
        <x:v>36735641</x:v>
      </x:c>
      <x:c r="O22" s="20" t="str">
        <x:v>PMID36735641</x:v>
      </x:c>
      <x:c r="P22" s="20" t="str">
        <x:v>beta-sitosterol\211-36735641-exploring the mechanism of action of source biotechnol genet eng rev so 2023.pdf</x:v>
      </x:c>
      <x:c r="Q22" s="20" t="str">
        <x:v>Exploring the mechanism of action of Yiyi Fuzi Baijiang powder in colorectal cancer based on network pharmacology and molecular docking studies.</x:v>
      </x:c>
      <x:c r="R22" s="20" t="str">
        <x:v>Included</x:v>
      </x:c>
      <x:c r="S22" s="20" t="str">
        <x:v>2023</x:v>
      </x:c>
      <x:c r="T22" s="20" t="str">
        <x:v>2023/10/01</x:v>
      </x:c>
      <x:c r="U22" s="20" t="str">
        <x:v>Luteolin</x:v>
      </x:c>
      <x:c r="V22" s="20" t="str">
        <x:v>薏苡附子败酱散</x:v>
      </x:c>
      <x:c r="W22" s="20" t="str">
        <x:v>Source-dependent—named Chinese medicinal material or TCM preparation recorded</x:v>
      </x:c>
      <x:c r="X22" s="20" t="str">
        <x:v>Requires source-level constituent verification for the specific record</x:v>
      </x:c>
      <x:c r="Y22" s="20" t="str">
        <x:v>PMID 36735641; PMID36735641</x:v>
      </x:c>
      <x:c r="Z22" s="20" t="str">
        <x:v>Extract/formula/decoction contextual evidence</x:v>
      </x:c>
      <x:c r="AA22" s="20" t="str">
        <x:v>Row-level annotation; deduplicate by PMID for final reference-level counts</x:v>
      </x:c>
    </x:row>
    <x:row r="23">
      <x:c r="A23" s="20" t="str">
        <x:v>Luteolin</x:v>
      </x:c>
      <x:c r="B23" s="20" t="str">
        <x:v>Flavonoids</x:v>
      </x:c>
      <x:c r="C23" s="20" t="str">
        <x:v>Carlina acaulis植物</x:v>
      </x:c>
      <x:c r="D23" s="20" t="str">
        <x:v>正常上皮结肠细胞系（CCD 841CoTr）、人结直肠腺癌（HT29）和人宫颈癌（HeLa）细胞</x:v>
      </x:c>
      <x:c r="E23" s="20" t="str">
        <x:v>In vitro</x:v>
      </x:c>
      <x:c r="F23" s="20" t="str">
        <x:v>not captured in source extraction</x:v>
      </x:c>
      <x:c r="G23" s="20" t="str">
        <x:v>not reported</x:v>
      </x:c>
      <x:c r="H23" s="20" t="str">
        <x:v>not reported</x:v>
      </x:c>
      <x:c r="I23" s="20" t="str">
        <x:v>not captured</x:v>
      </x:c>
      <x:c r="J23" s="20" t="str">
        <x:v>not reported</x:v>
      </x:c>
      <x:c r="K23" s="20" t="str">
        <x:v>not reported</x:v>
      </x:c>
      <x:c r="L23" s="20" t="str">
        <x:v>Excluded: insufficient extractable evidence</x:v>
      </x:c>
      <x:c r="M23" s="20" t="str">
        <x:v>not assigned</x:v>
      </x:c>
      <x:c r="N23" s="20" t="str">
        <x:v>37630400</x:v>
      </x:c>
      <x:c r="O23" s="20" t="str">
        <x:v>not available</x:v>
      </x:c>
      <x:c r="P23" s="20" t="str">
        <x:v>Kaempferol\70-37630400-Polyphenolic Composition of Carlina Source Molecules SO 2023.pdf</x:v>
      </x:c>
      <x:c r="Q23" s="20" t="str">
        <x:v>not retained - incomplete bibliographic metadata</x:v>
      </x:c>
      <x:c r="R23" s="20" t="str">
        <x:v>Excluded: incomplete bibliographic title requiring verification</x:v>
      </x:c>
      <x:c r="S23" s="20" t="str">
        <x:v>2023</x:v>
      </x:c>
      <x:c r="T23" s="20" t="str">
        <x:v>2023/08/20</x:v>
      </x:c>
      <x:c r="U23" s="20" t="str">
        <x:v>Luteolin</x:v>
      </x:c>
      <x:c r="V23" s="20" t="str">
        <x:v>Carlina acaulis植物</x:v>
      </x:c>
      <x:c r="W23" s="20" t="str">
        <x:v>Not established from this row alone</x:v>
      </x:c>
      <x:c r="X23" s="20" t="str">
        <x:v>Dietary, generic botanical, or non-specific natural-product source</x:v>
      </x:c>
      <x:c r="Y23" s="20" t="str">
        <x:v>PMID 37630400; not available</x:v>
      </x:c>
      <x:c r="Z23" s="20" t="str">
        <x:v>Not assessed for final attribution (excluded record)</x:v>
      </x:c>
      <x:c r="AA23" s="20" t="str">
        <x:v>Row-level annotation; deduplicate by PMID for final reference-level counts</x:v>
      </x:c>
    </x:row>
    <x:row r="24">
      <x:c r="A24" s="20" t="str">
        <x:v>Luteolin</x:v>
      </x:c>
      <x:c r="B24" s="20" t="str">
        <x:v>Flavonoids</x:v>
      </x:c>
      <x:c r="C24" s="20" t="str">
        <x:v>Achillea ketenoglui 提取物</x:v>
      </x:c>
      <x:c r="D24" s="20" t="str">
        <x:v>HCT116 和 HT-29 人结直肠癌细胞系</x:v>
      </x:c>
      <x:c r="E24" s="20" t="str">
        <x:v>In vitro</x:v>
      </x:c>
      <x:c r="F24" s="20" t="str">
        <x:v>not captured in source extraction</x:v>
      </x:c>
      <x:c r="G24" s="20" t="str">
        <x:v>p53、p21、caspase-3 和 caspase-9</x:v>
      </x:c>
      <x:c r="H24" s="20" t="str">
        <x:v>细胞毒性、诱导凋亡、细胞周期阻滞、基因/蛋白上调</x:v>
      </x:c>
      <x:c r="I24" s="20" t="str">
        <x:v>not captured</x:v>
      </x:c>
      <x:c r="J24" s="20" t="str">
        <x:v>not reported</x:v>
      </x:c>
      <x:c r="K24" s="20" t="str">
        <x:v>not reported</x:v>
      </x:c>
      <x:c r="L24" s="20" t="str">
        <x:v>Contextual mixture/formulation evidence</x:v>
      </x:c>
      <x:c r="M24" s="20" t="str">
        <x:v>Apoptosis/cell cycle</x:v>
      </x:c>
      <x:c r="N24" s="20" t="str">
        <x:v>34503424</x:v>
      </x:c>
      <x:c r="O24" s="20" t="str">
        <x:v>PMID34503424</x:v>
      </x:c>
      <x:c r="P24" s="20" t="str">
        <x:v>Luteolin\23-34503424-Anticancer Effect and Phytochemical Profile of the Extract f ].pdf</x:v>
      </x:c>
      <x:c r="Q24" s="20" t="str">
        <x:v>Anticancer Effect and Phytochemical Profile of the Extract from Achillea ketenoglui against Human Colorectal Cancer Cell Lines.</x:v>
      </x:c>
      <x:c r="R24" s="20" t="str">
        <x:v>Included</x:v>
      </x:c>
      <x:c r="S24" s="20" t="str">
        <x:v>2022</x:v>
      </x:c>
      <x:c r="T24" s="20" t="str">
        <x:v>2022/01/01</x:v>
      </x:c>
      <x:c r="U24" s="20" t="str">
        <x:v>Luteolin</x:v>
      </x:c>
      <x:c r="V24" s="20" t="str">
        <x:v>Achillea ketenoglui 提取物</x:v>
      </x:c>
      <x:c r="W24" s="20" t="str">
        <x:v>Not established from this row alone</x:v>
      </x:c>
      <x:c r="X24" s="20" t="str">
        <x:v>Dietary, generic botanical, or non-specific natural-product source</x:v>
      </x:c>
      <x:c r="Y24" s="20" t="str">
        <x:v>PMID 34503424; PMID34503424</x:v>
      </x:c>
      <x:c r="Z24" s="20" t="str">
        <x:v>Extract/formula/decoction contextual evidence</x:v>
      </x:c>
      <x:c r="AA24" s="20" t="str">
        <x:v>Row-level annotation; deduplicate by PMID for final reference-level counts</x:v>
      </x:c>
    </x:row>
    <x:row r="25">
      <x:c r="A25" s="20" t="str">
        <x:v>Luteolin</x:v>
      </x:c>
      <x:c r="B25" s="20" t="str">
        <x:v>Flavonoids</x:v>
      </x:c>
      <x:c r="C25" s="20" t="str">
        <x:v>薏苡附子败酱散</x:v>
      </x:c>
      <x:c r="D25" s="20" t="str">
        <x:v>1. 体外模型：人结肠癌HT-29细胞系（用于CCK-8、划痕、侵袭、凋亡、ChIP等实验）；
2. 体内模型：BALB/c裸鼠皮下移植HT-29细胞构建的结肠癌异种移植瘤模型</x:v>
      </x:c>
      <x:c r="E25" s="20" t="str">
        <x:v>In vitro + in vivo</x:v>
      </x:c>
      <x:c r="F25" s="20" t="str">
        <x:v>not captured in source extraction</x:v>
      </x:c>
      <x:c r="G25" s="20" t="str">
        <x:v>TNF-α、白细胞介素-17 和 Toll 样受体信号通路</x:v>
      </x:c>
      <x:c r="H25" s="20" t="str">
        <x:v>抗炎信号传导和调节 TLR4/NF-κB 信号通路下调 SMOX 表达</x:v>
      </x:c>
      <x:c r="I25" s="20" t="str">
        <x:v>not captured</x:v>
      </x:c>
      <x:c r="J25" s="20" t="str">
        <x:v>not reported</x:v>
      </x:c>
      <x:c r="K25" s="20" t="str">
        <x:v>not reported</x:v>
      </x:c>
      <x:c r="L25" s="20" t="str">
        <x:v>Contextual mixture/formulation evidence</x:v>
      </x:c>
      <x:c r="M25" s="20" t="str">
        <x:v>Apoptosis/cell cycle; NF-kB/STAT3/inflammation; EMT/ECM/metastasis</x:v>
      </x:c>
      <x:c r="N25" s="20" t="str">
        <x:v>36353478</x:v>
      </x:c>
      <x:c r="O25" s="20" t="str">
        <x:v>PMID36353478</x:v>
      </x:c>
      <x:c r="P25" s="20" t="str">
        <x:v>beta-sitosterol\213-36353478-Identification of the effect and mec Source Front Pharmacol SO 2022.pdf</x:v>
      </x:c>
      <x:c r="Q25" s="20" t="str">
        <x:v>Identification of the effect and mechanism of Yiyi Fuzi Baijiang powder against colorectal cancer using network pharmacology and experimental validation.</x:v>
      </x:c>
      <x:c r="R25" s="20" t="str">
        <x:v>Included</x:v>
      </x:c>
      <x:c r="S25" s="20" t="str">
        <x:v>2022</x:v>
      </x:c>
      <x:c r="T25" s="20" t="str">
        <x:v>2022/10/24</x:v>
      </x:c>
      <x:c r="U25" s="20" t="str">
        <x:v>Luteolin</x:v>
      </x:c>
      <x:c r="V25" s="20" t="str">
        <x:v>薏苡附子败酱散</x:v>
      </x:c>
      <x:c r="W25" s="20" t="str">
        <x:v>Source-dependent—named Chinese medicinal material or TCM preparation recorded</x:v>
      </x:c>
      <x:c r="X25" s="20" t="str">
        <x:v>Requires source-level constituent verification for the specific record</x:v>
      </x:c>
      <x:c r="Y25" s="20" t="str">
        <x:v>PMID 36353478; PMID36353478</x:v>
      </x:c>
      <x:c r="Z25" s="20" t="str">
        <x:v>Extract/formula/decoction contextual evidence</x:v>
      </x:c>
      <x:c r="AA25" s="20" t="str">
        <x:v>Row-level annotation; deduplicate by PMID for final reference-level counts</x:v>
      </x:c>
    </x:row>
    <x:row r="26">
      <x:c r="A26" s="20" t="str">
        <x:v>Luteolin</x:v>
      </x:c>
      <x:c r="B26" s="20" t="str">
        <x:v>Flavonoids</x:v>
      </x:c>
      <x:c r="C26" s="20" t="str">
        <x:v>Z. nummularia 乙醇提取物</x:v>
      </x:c>
      <x:c r="D26" s="20" t="str">
        <x:v>乳腺癌（KAIMRC2 和 MDA-MB-231）、结直肠癌（HCT8）和肝癌（HepG2）</x:v>
      </x:c>
      <x:c r="E26" s="20" t="str">
        <x:v>Not specified</x:v>
      </x:c>
      <x:c r="F26" s="20" t="str">
        <x:v>not captured in source extraction</x:v>
      </x:c>
      <x:c r="G26" s="20" t="str">
        <x:v>pAKT 和 pmTOR 表达上调</x:v>
      </x:c>
      <x:c r="H26" s="20" t="str">
        <x:v>抑制增殖、诱导凋亡、破坏微管、激活生存通路、剂量依赖性</x:v>
      </x:c>
      <x:c r="I26" s="20" t="str">
        <x:v>not captured</x:v>
      </x:c>
      <x:c r="J26" s="20" t="str">
        <x:v>乙醇提取物代谢物被预测具有心脏毒性作用。</x:v>
      </x:c>
      <x:c r="K26" s="20" t="str">
        <x:v>not reported</x:v>
      </x:c>
      <x:c r="L26" s="20" t="str">
        <x:v>Excluded: insufficient extractable evidence</x:v>
      </x:c>
      <x:c r="M26" s="20" t="str">
        <x:v>Apoptosis/cell cycle; PI3K/Akt/mTOR/metabolism</x:v>
      </x:c>
      <x:c r="N26" s="20" t="str">
        <x:v>38531974</x:v>
      </x:c>
      <x:c r="O26" s="20" t="str">
        <x:v>PMID38531974</x:v>
      </x:c>
      <x:c r="P26" s="20" t="str">
        <x:v>Luteolin\25-38531974-Exploring the potential of Ziziphus.pdf</x:v>
      </x:c>
      <x:c r="Q26" s="20" t="str">
        <x:v>Exploring the potential of Ziziphus nummularia and luteolin-7-O-glucoside as tubulin inhibitors in cancer therapy and survival.</x:v>
      </x:c>
      <x:c r="R26" s="20" t="str">
        <x:v>Excluded: insufficient extractable evidence</x:v>
      </x:c>
      <x:c r="S26" s="20" t="str">
        <x:v>2024</x:v>
      </x:c>
      <x:c r="T26" s="20" t="str">
        <x:v>2024/03/26</x:v>
      </x:c>
      <x:c r="U26" s="20" t="str">
        <x:v>Luteolin</x:v>
      </x:c>
      <x:c r="V26" s="20" t="str">
        <x:v>Z. nummularia 乙醇提取物</x:v>
      </x:c>
      <x:c r="W26" s="20" t="str">
        <x:v>Not established from this row alone</x:v>
      </x:c>
      <x:c r="X26" s="20" t="str">
        <x:v>Dietary, generic botanical, or non-specific natural-product source</x:v>
      </x:c>
      <x:c r="Y26" s="20" t="str">
        <x:v>PMID 38531974; PMID38531974</x:v>
      </x:c>
      <x:c r="Z26" s="20" t="str">
        <x:v>Not assessed for final attribution (excluded record)</x:v>
      </x:c>
      <x:c r="AA26" s="20" t="str">
        <x:v>Row-level annotation; deduplicate by PMID for final reference-level counts</x:v>
      </x:c>
    </x:row>
    <x:row r="27">
      <x:c r="A27" s="20" t="str">
        <x:v>Luteolin</x:v>
      </x:c>
      <x:c r="B27" s="20" t="str">
        <x:v>Flavonoids</x:v>
      </x:c>
      <x:c r="C27" s="20" t="str">
        <x:v>Liquidambar orientalis叶片甲醇提取物</x:v>
      </x:c>
      <x:c r="D27" s="20" t="str">
        <x:v>HCT-116 和 HT-29 人结直肠癌细胞系</x:v>
      </x:c>
      <x:c r="E27" s="20" t="str">
        <x:v>In vitro</x:v>
      </x:c>
      <x:c r="F27" s="20" t="str">
        <x:v>not captured in source extraction</x:v>
      </x:c>
      <x:c r="G27" s="20" t="str">
        <x:v>NF-κB 和人类结直肠癌的细胞凋亡途径</x:v>
      </x:c>
      <x:c r="H27" s="20" t="str">
        <x:v>抗氧化、抗增殖、抗侵袭和细胞凋亡</x:v>
      </x:c>
      <x:c r="I27" s="20" t="str">
        <x:v>not captured</x:v>
      </x:c>
      <x:c r="J27" s="20" t="str">
        <x:v>not reported</x:v>
      </x:c>
      <x:c r="K27" s="20" t="str">
        <x:v>not reported</x:v>
      </x:c>
      <x:c r="L27" s="20" t="str">
        <x:v>Level 3: cell-based mechanistic evidence</x:v>
      </x:c>
      <x:c r="M27" s="20" t="str">
        <x:v>Apoptosis/cell cycle; NF-kB/STAT3/inflammation; ROS/ferroptosis; EMT/ECM/metastasis</x:v>
      </x:c>
      <x:c r="N27" s="20" t="str">
        <x:v>34291706</x:v>
      </x:c>
      <x:c r="O27" s="20" t="str">
        <x:v>not available</x:v>
      </x:c>
      <x:c r="P27" s="20" t="str">
        <x:v>Kaempferol\79-34291706-the phytochemical profile and biolog source nutr cancer actions search in pubmed search in nlm catalog add to search 2021 jul 22 1 15 doi 10 1080 01635581 2021 1952455 online ahead of print.pdf</x:v>
      </x:c>
      <x:c r="Q27" s="20" t="str">
        <x:v>not retained - incomplete bibliographic metadata</x:v>
      </x:c>
      <x:c r="R27" s="20" t="str">
        <x:v>Excluded: incomplete bibliographic title requiring verification</x:v>
      </x:c>
      <x:c r="S27" s="20" t="str">
        <x:v>2022</x:v>
      </x:c>
      <x:c r="T27" s="20" t="str">
        <x:v>2022/01/01</x:v>
      </x:c>
      <x:c r="U27" s="20" t="str">
        <x:v>Luteolin</x:v>
      </x:c>
      <x:c r="V27" s="20" t="str">
        <x:v>Liquidambar orientalis叶片甲醇提取物</x:v>
      </x:c>
      <x:c r="W27" s="20" t="str">
        <x:v>Not established from this row alone</x:v>
      </x:c>
      <x:c r="X27" s="20" t="str">
        <x:v>Dietary, generic botanical, or non-specific natural-product source</x:v>
      </x:c>
      <x:c r="Y27" s="20" t="str">
        <x:v>PMID 34291706; not available</x:v>
      </x:c>
      <x:c r="Z27" s="20" t="str">
        <x:v>Not assessed for final attribution (excluded record)</x:v>
      </x:c>
      <x:c r="AA27" s="20" t="str">
        <x:v>Row-level annotation; deduplicate by PMID for final reference-level counts</x:v>
      </x:c>
    </x:row>
    <x:row r="28">
      <x:c r="A28" s="20" t="str">
        <x:v>Luteolin</x:v>
      </x:c>
      <x:c r="B28" s="20" t="str">
        <x:v>Flavonoids</x:v>
      </x:c>
      <x:c r="C28" s="20" t="str">
        <x:v>Terminalia arjuna 粗提取物</x:v>
      </x:c>
      <x:c r="D28" s="20" t="str">
        <x:v>体外化学提取与成分鉴定</x:v>
      </x:c>
      <x:c r="E28" s="20" t="str">
        <x:v>In vitro</x:v>
      </x:c>
      <x:c r="F28" s="20" t="str">
        <x:v>not captured in source extraction</x:v>
      </x:c>
      <x:c r="G28" s="20" t="str">
        <x:v>not reported</x:v>
      </x:c>
      <x:c r="H28" s="20" t="str">
        <x:v>抗氧化</x:v>
      </x:c>
      <x:c r="I28" s="20" t="str">
        <x:v>not captured</x:v>
      </x:c>
      <x:c r="J28" s="20" t="str">
        <x:v>not reported</x:v>
      </x:c>
      <x:c r="K28" s="20" t="str">
        <x:v>not reported</x:v>
      </x:c>
      <x:c r="L28" s="20" t="str">
        <x:v>Contextual mixture/formulation evidence</x:v>
      </x:c>
      <x:c r="M28" s="20" t="str">
        <x:v>ROS/ferroptosis</x:v>
      </x:c>
      <x:c r="N28" s="20" t="str">
        <x:v>37850546</x:v>
      </x:c>
      <x:c r="O28" s="20" t="str">
        <x:v>not available</x:v>
      </x:c>
      <x:c r="P28" s="20" t="str">
        <x:v>beta-sitosterol\215-37850546-optimizing the extraction of polyphe source curr comput aided drug des so 2024.pdf</x:v>
      </x:c>
      <x:c r="Q28" s="20" t="str">
        <x:v>not retained - incomplete bibliographic metadata</x:v>
      </x:c>
      <x:c r="R28" s="20" t="str">
        <x:v>Excluded: no CRC-specific model or outcome extracted</x:v>
      </x:c>
      <x:c r="S28" s="20" t="str">
        <x:v>2024</x:v>
      </x:c>
      <x:c r="T28" s="20" t="str">
        <x:v>2024/01/01</x:v>
      </x:c>
      <x:c r="U28" s="20" t="str">
        <x:v>Luteolin</x:v>
      </x:c>
      <x:c r="V28" s="20" t="str">
        <x:v>Terminalia arjuna 粗提取物</x:v>
      </x:c>
      <x:c r="W28" s="20" t="str">
        <x:v>Not established from this row alone</x:v>
      </x:c>
      <x:c r="X28" s="20" t="str">
        <x:v>Dietary, generic botanical, or non-specific natural-product source</x:v>
      </x:c>
      <x:c r="Y28" s="20" t="str">
        <x:v>PMID 37850546; not available</x:v>
      </x:c>
      <x:c r="Z28" s="20" t="str">
        <x:v>Not assessed for final attribution (excluded record)</x:v>
      </x:c>
      <x:c r="AA28" s="20" t="str">
        <x:v>Row-level annotation; deduplicate by PMID for final reference-level counts</x:v>
      </x:c>
    </x:row>
    <x:row r="29">
      <x:c r="A29" s="20" t="str">
        <x:v>Luteolin</x:v>
      </x:c>
      <x:c r="B29" s="20" t="str">
        <x:v>Flavonoids</x:v>
      </x:c>
      <x:c r="C29" s="20" t="str">
        <x:v>肠胃清Changweiqing (CWQ)</x:v>
      </x:c>
      <x:c r="D29" s="20" t="str">
        <x:v>生物信息学分析（WGCNA、PPI、分子对接）、公共数据库（TCGA、UALCAN等）</x:v>
      </x:c>
      <x:c r="E29" s="20" t="str">
        <x:v>Network/in silico</x:v>
      </x:c>
      <x:c r="F29" s="20" t="str">
        <x:v>not captured in source extraction</x:v>
      </x:c>
      <x:c r="G29" s="20" t="str">
        <x:v>调控癌症通路、MAPK 信号通路和 AGE-RAGE 信号通路</x:v>
      </x:c>
      <x:c r="H29" s="20" t="str">
        <x:v>not reported</x:v>
      </x:c>
      <x:c r="I29" s="20" t="str">
        <x:v>not captured</x:v>
      </x:c>
      <x:c r="J29" s="20" t="str">
        <x:v>not reported</x:v>
      </x:c>
      <x:c r="K29" s="20" t="str">
        <x:v>not reported</x:v>
      </x:c>
      <x:c r="L29" s="20" t="str">
        <x:v>Level 4: in silico-only</x:v>
      </x:c>
      <x:c r="M29" s="20" t="str">
        <x:v>MAPK/JNK/ERK</x:v>
      </x:c>
      <x:c r="N29" s="20" t="str">
        <x:v>40065477</x:v>
      </x:c>
      <x:c r="O29" s="20" t="str">
        <x:v>PMID40065477</x:v>
      </x:c>
      <x:c r="P29" s="20" t="str">
        <x:v>isorhamnetin\40065477-Network pharmacological approach com Source Hereditas SO 2025.pdf</x:v>
      </x:c>
      <x:c r="Q29" s="20" t="str">
        <x:v>Network pharmacological approach combined with weighted gene co-expression network analysis identifies CDKN2A as the keg target of Changweiqing against colorectal cancer.</x:v>
      </x:c>
      <x:c r="R29" s="20" t="str">
        <x:v>Included</x:v>
      </x:c>
      <x:c r="S29" s="20" t="str">
        <x:v>2025</x:v>
      </x:c>
      <x:c r="T29" s="20" t="str">
        <x:v>2025/03/10</x:v>
      </x:c>
      <x:c r="U29" s="20" t="str">
        <x:v>Luteolin</x:v>
      </x:c>
      <x:c r="V29" s="20" t="str">
        <x:v>肠胃清Changweiqing (CWQ)</x:v>
      </x:c>
      <x:c r="W29" s="20" t="str">
        <x:v>Not established from this row alone</x:v>
      </x:c>
      <x:c r="X29" s="20" t="str">
        <x:v>Dietary, generic botanical, or non-specific natural-product source</x:v>
      </x:c>
      <x:c r="Y29" s="20" t="str">
        <x:v>PMID 40065477; PMID40065477</x:v>
      </x:c>
      <x:c r="Z29" s="20" t="str">
        <x:v>Network pharmacology/in silico evidence</x:v>
      </x:c>
      <x:c r="AA29" s="20" t="str">
        <x:v>Row-level annotation; deduplicate by PMID for final reference-level counts</x:v>
      </x:c>
    </x:row>
    <x:row r="30">
      <x:c r="A30" s="20" t="str">
        <x:v>Luteolin</x:v>
      </x:c>
      <x:c r="B30" s="20" t="str">
        <x:v>Flavonoids</x:v>
      </x:c>
      <x:c r="C30" s="20" t="str">
        <x:v>Xianliu Jieduan Fang</x:v>
      </x:c>
      <x:c r="D30" s="20" t="str">
        <x:v>AOM/DSS 诱导的 CAC 小鼠模型</x:v>
      </x:c>
      <x:c r="E30" s="20" t="str">
        <x:v>In vivo</x:v>
      </x:c>
      <x:c r="F30" s="20" t="str">
        <x:v>not captured in source extraction</x:v>
      </x:c>
      <x:c r="G30" s="20" t="str">
        <x:v>Wnt/β-catenin 通路</x:v>
      </x:c>
      <x:c r="H30" s="20" t="str">
        <x:v>调节细胞凋亡和细胞迁移</x:v>
      </x:c>
      <x:c r="I30" s="20" t="str">
        <x:v>yes</x:v>
      </x:c>
      <x:c r="J30" s="20" t="str">
        <x:v>not reported</x:v>
      </x:c>
      <x:c r="K30" s="20" t="str">
        <x:v>not reported</x:v>
      </x:c>
      <x:c r="L30" s="20" t="str">
        <x:v>Level 2: in vivo evidence</x:v>
      </x:c>
      <x:c r="M30" s="20" t="str">
        <x:v>Apoptosis/cell cycle; PI3K/Akt/mTOR/metabolism; Wnt/beta-catenin/stemness; EMT/ECM/metastasis</x:v>
      </x:c>
      <x:c r="N30" s="20" t="str">
        <x:v>40324811</x:v>
      </x:c>
      <x:c r="O30" s="20" t="str">
        <x:v>PMID40324811</x:v>
      </x:c>
      <x:c r="P30" s="20" t="str">
        <x:v>Kaempferol\84-40324811-exploring the anticancer effects of source biomed chromatogr so 2025.pdf</x:v>
      </x:c>
      <x:c r="Q30" s="20" t="str">
        <x:v>Exploring the Anticancer Effects of Xianliu Jieduan Fang on Colitis-Associated Colorectal Cancer Through Network Pharmacology and Experimental Validation.</x:v>
      </x:c>
      <x:c r="R30" s="20" t="str">
        <x:v>Included</x:v>
      </x:c>
      <x:c r="S30" s="20" t="str">
        <x:v>2025</x:v>
      </x:c>
      <x:c r="T30" s="20" t="str">
        <x:v>2025/06/01</x:v>
      </x:c>
      <x:c r="U30" s="20" t="str">
        <x:v>Luteolin</x:v>
      </x:c>
      <x:c r="V30" s="20" t="str">
        <x:v>Xianliu Jieduan Fang</x:v>
      </x:c>
      <x:c r="W30" s="20" t="str">
        <x:v>Not established from this row alone</x:v>
      </x:c>
      <x:c r="X30" s="20" t="str">
        <x:v>Dietary, generic botanical, or non-specific natural-product source</x:v>
      </x:c>
      <x:c r="Y30" s="20" t="str">
        <x:v>PMID 40324811; PMID40324811</x:v>
      </x:c>
      <x:c r="Z30" s="20" t="str">
        <x:v>Network pharmacology/in silico evidence</x:v>
      </x:c>
      <x:c r="AA30" s="20" t="str">
        <x:v>Row-level annotation; deduplicate by PMID for final reference-level counts</x:v>
      </x:c>
    </x:row>
    <x:row r="31">
      <x:c r="A31" s="20" t="str">
        <x:v>Luteolin</x:v>
      </x:c>
      <x:c r="B31" s="20" t="str">
        <x:v>Flavonoids</x:v>
      </x:c>
      <x:c r="C31" s="20" t="str">
        <x:v>天然植物</x:v>
      </x:c>
      <x:c r="D31" s="20" t="str">
        <x:v>正常细胞：
WI-38（人胚肺成纤维细胞）
癌细胞：
HeLa（人宫颈癌）
MCF-7（人乳腺癌）
A549（人非小细胞肺癌）
HT-29（人结肠癌）</x:v>
      </x:c>
      <x:c r="E31" s="20" t="str">
        <x:v>In vitro</x:v>
      </x:c>
      <x:c r="F31" s="20" t="str">
        <x:v>not captured in source extraction</x:v>
      </x:c>
      <x:c r="G31" s="20" t="str">
        <x:v>调控 miR-384/pleiotrophin 轴</x:v>
      </x:c>
      <x:c r="H31" s="20" t="str">
        <x:v>酸性 pH 响应释放，抑制肿瘤细胞迁移、增加 ROS 生成以及上调 Caspase-3 和 Caspase-9 的表达来增强抗癌活性</x:v>
      </x:c>
      <x:c r="I31" s="20" t="str">
        <x:v>not captured</x:v>
      </x:c>
      <x:c r="J31" s="20" t="str">
        <x:v>not reported</x:v>
      </x:c>
      <x:c r="K31" s="20" t="str">
        <x:v>not reported</x:v>
      </x:c>
      <x:c r="L31" s="20" t="str">
        <x:v>Level 3: cell-based mechanistic evidence</x:v>
      </x:c>
      <x:c r="M31" s="20" t="str">
        <x:v>Apoptosis/cell cycle; Wnt/beta-catenin/stemness; ROS/ferroptosis; EMT/ECM/metastasis</x:v>
      </x:c>
      <x:c r="N31" s="20" t="str">
        <x:v>38524612</x:v>
      </x:c>
      <x:c r="O31" s="20" t="str">
        <x:v>PMID38524612</x:v>
      </x:c>
      <x:c r="P31" s="20" t="str">
        <x:v>Luteolin\30-38524612-Synthesis characterization and eff Source Heliyon SO 2024.pdf</x:v>
      </x:c>
      <x:c r="Q31" s="20" t="str">
        <x:v>Synthesis, characterization, and efficacy evaluation of a PH-responsive Fe-MOF@GO composite drug delivery system for the treating colorectal cancer.</x:v>
      </x:c>
      <x:c r="R31" s="20" t="str">
        <x:v>Included</x:v>
      </x:c>
      <x:c r="S31" s="20" t="str">
        <x:v>2024</x:v>
      </x:c>
      <x:c r="T31" s="20" t="str">
        <x:v>2024/03/15</x:v>
      </x:c>
      <x:c r="U31" s="20" t="str">
        <x:v>Luteolin</x:v>
      </x:c>
      <x:c r="V31" s="20" t="str">
        <x:v>天然植物</x:v>
      </x:c>
      <x:c r="W31" s="20" t="str">
        <x:v>Not established from this row alone</x:v>
      </x:c>
      <x:c r="X31" s="20" t="str">
        <x:v>Dietary, generic botanical, or non-specific natural-product source</x:v>
      </x:c>
      <x:c r="Y31" s="20" t="str">
        <x:v>PMID 38524612; PMID38524612</x:v>
      </x:c>
      <x:c r="Z31" s="20" t="str">
        <x:v>Formulation/nanodelivery contextual evidence</x:v>
      </x:c>
      <x:c r="AA31" s="20" t="str">
        <x:v>Row-level annotation; deduplicate by PMID for final reference-level counts</x:v>
      </x:c>
    </x:row>
    <x:row r="32">
      <x:c r="A32" s="20" t="str">
        <x:v>Luteolin</x:v>
      </x:c>
      <x:c r="B32" s="20" t="str">
        <x:v>Flavonoids</x:v>
      </x:c>
      <x:c r="C32" s="20" t="str">
        <x:v>绿色路易波士茶提取物 （GRE）</x:v>
      </x:c>
      <x:c r="D32" s="20" t="str">
        <x:v>原发性大鼠肝细胞 （PH） 和人肝脏 （HepG2） 和结肠 （HT-29） 癌细胞</x:v>
      </x:c>
      <x:c r="E32" s="20" t="str">
        <x:v>In vitro + in vivo</x:v>
      </x:c>
      <x:c r="F32" s="20" t="str">
        <x:v>not captured in source extraction</x:v>
      </x:c>
      <x:c r="G32" s="20" t="str">
        <x:v>not reported</x:v>
      </x:c>
      <x:c r="H32" s="20" t="str">
        <x:v>抑制增殖、诱导凋亡</x:v>
      </x:c>
      <x:c r="I32" s="20" t="str">
        <x:v>not captured</x:v>
      </x:c>
      <x:c r="J32" s="20" t="str">
        <x:v>not reported</x:v>
      </x:c>
      <x:c r="K32" s="20" t="str">
        <x:v>not reported</x:v>
      </x:c>
      <x:c r="L32" s="20" t="str">
        <x:v>Contextual mixture/formulation evidence</x:v>
      </x:c>
      <x:c r="M32" s="20" t="str">
        <x:v>Apoptosis/cell cycle</x:v>
      </x:c>
      <x:c r="N32" s="20" t="str">
        <x:v>32930006</x:v>
      </x:c>
      <x:c r="O32" s="20" t="str">
        <x:v>PMID32930006</x:v>
      </x:c>
      <x:c r="P32" s="20" t="str">
        <x:v>Luteolin\31-32930006-Differential Cytotoxicity of Rooibos and Green Tea Extra Source Nutr Cancer 2020 Sep 15 1 15.PDF</x:v>
      </x:c>
      <x:c r="Q32" s="20" t="str">
        <x:v>Differential Cytotoxicity of Rooibos and Green Tea Extracts against Primary Rat Hepatocytes and Human Liver and Colon Cancer Cells - Causal Role of Major Flavonoids.</x:v>
      </x:c>
      <x:c r="R32" s="20" t="str">
        <x:v>Included</x:v>
      </x:c>
      <x:c r="S32" s="20" t="str">
        <x:v>2021</x:v>
      </x:c>
      <x:c r="T32" s="20" t="str">
        <x:v>2021/01/01</x:v>
      </x:c>
      <x:c r="U32" s="20" t="str">
        <x:v>Luteolin</x:v>
      </x:c>
      <x:c r="V32" s="20" t="str">
        <x:v>绿色路易波士茶提取物 （GRE）</x:v>
      </x:c>
      <x:c r="W32" s="20" t="str">
        <x:v>Not established from this row alone</x:v>
      </x:c>
      <x:c r="X32" s="20" t="str">
        <x:v>Dietary, generic botanical, or non-specific natural-product source</x:v>
      </x:c>
      <x:c r="Y32" s="20" t="str">
        <x:v>PMID 32930006; PMID32930006</x:v>
      </x:c>
      <x:c r="Z32" s="20" t="str">
        <x:v>Extract/formula/decoction contextual evidence</x:v>
      </x:c>
      <x:c r="AA32" s="20" t="str">
        <x:v>Row-level annotation; deduplicate by PMID for final reference-level counts</x:v>
      </x:c>
    </x:row>
    <x:row r="33">
      <x:c r="A33" s="20" t="str">
        <x:v>Luteolin</x:v>
      </x:c>
      <x:c r="B33" s="20" t="str">
        <x:v>Flavonoids</x:v>
      </x:c>
      <x:c r="C33" s="20" t="str">
        <x:v>天然黄酮类化合物</x:v>
      </x:c>
      <x:c r="D33" s="20" t="str">
        <x:v>体外：人结肠癌细胞系 HCT116
体内：BALB/c nude mice（裸鼠）荷 HCT116 异种移植瘤</x:v>
      </x:c>
      <x:c r="E33" s="20" t="str">
        <x:v>In vitro + in vivo</x:v>
      </x:c>
      <x:c r="F33" s="20" t="str">
        <x:v>12.5 or 25 µM luteolin with 1 µM oxaliplatin in vitro; luteolin 50 mg/kg/day with oxaliplatin 10 mg/kg three times/week in xenograft mice</x:v>
      </x:c>
      <x:c r="G33" s="20" t="str">
        <x:v>AMPK 通路
AKT 通路
Nrf2 通路
p38 MAPK 通路</x:v>
      </x:c>
      <x:c r="H33" s="20" t="str">
        <x:v>低浓度（≤5 µM）激活 AMPK；
高浓度（&gt;10 µM）抑制 AMPK；
激活 AKT；
与奥沙利铂联用显著抑制肿瘤生长</x:v>
      </x:c>
      <x:c r="I33" s="20" t="str">
        <x:v>not captured</x:v>
      </x:c>
      <x:c r="J33" s="20" t="str">
        <x:v>not reported</x:v>
      </x:c>
      <x:c r="K33" s="20" t="str">
        <x:v>not reported</x:v>
      </x:c>
      <x:c r="L33" s="20" t="str">
        <x:v>Level 1: animal-validated mechanistic evidence</x:v>
      </x:c>
      <x:c r="M33" s="20" t="str">
        <x:v>PI3K/Akt/mTOR/metabolism; MAPK/JNK/ERK</x:v>
      </x:c>
      <x:c r="N33" s="20" t="str">
        <x:v>35453311</x:v>
      </x:c>
      <x:c r="O33" s="20" t="str">
        <x:v>PMID35453311</x:v>
      </x:c>
      <x:c r="P33" s="20" t="str">
        <x:v>Luteolin\32-35453311-Luteolin Synergistically Enhances An Source Antioxidants Basel SO 2022.pdf</x:v>
      </x:c>
      <x:c r="Q33" s="20" t="str">
        <x:v>Luteolin Synergistically Enhances Antitumor Activity of Oxaliplatin in Colorectal Carcinoma via AMPK Inhibition.</x:v>
      </x:c>
      <x:c r="R33" s="20" t="str">
        <x:v>Included</x:v>
      </x:c>
      <x:c r="S33" s="20" t="str">
        <x:v>2022</x:v>
      </x:c>
      <x:c r="T33" s="20" t="str">
        <x:v>2022/03/24</x:v>
      </x:c>
      <x:c r="U33" s="20" t="str">
        <x:v>Luteolin</x:v>
      </x:c>
      <x:c r="V33" s="20" t="str">
        <x:v>天然黄酮类化合物</x:v>
      </x:c>
      <x:c r="W33" s="20" t="str">
        <x:v>Not established from this row alone</x:v>
      </x:c>
      <x:c r="X33" s="20" t="str">
        <x:v>Dietary, generic botanical, or non-specific natural-product source</x:v>
      </x:c>
      <x:c r="Y33" s="20" t="str">
        <x:v>PMID 35453311; PMID35453311</x:v>
      </x:c>
      <x:c r="Z33" s="20" t="str">
        <x:v>Purified isolated compound: Luteolin</x:v>
      </x:c>
      <x:c r="AA33" s="20" t="str">
        <x:v>Row-level annotation; deduplicate by PMID for final reference-level counts</x:v>
      </x:c>
    </x:row>
    <x:row r="34">
      <x:c r="A34" s="20" t="str">
        <x:v>Luteolin</x:v>
      </x:c>
      <x:c r="B34" s="20" t="str">
        <x:v>Flavonoids</x:v>
      </x:c>
      <x:c r="C34" s="20" t="str">
        <x:v>益津通腑YJTF</x:v>
      </x:c>
      <x:c r="D34" s="20" t="str">
        <x:v>计算机模拟方法：
网络药理学预测靶点
分子对接</x:v>
      </x:c>
      <x:c r="E34" s="20" t="str">
        <x:v>Network/in silico</x:v>
      </x:c>
      <x:c r="F34" s="20" t="str">
        <x:v>not captured in source extraction</x:v>
      </x:c>
      <x:c r="G34" s="20" t="str">
        <x:v>AKT1：−7.25
EGFR (PDB: 3GKW)：−6.73
SRC (PDB: 6E6E)：−5.59
ESR1 (PDB: 1R5K)：−5.73
PTGS2 (PDB: 5IKQ)：−6.90</x:v>
      </x:c>
      <x:c r="H34" s="20" t="str">
        <x:v>not reported</x:v>
      </x:c>
      <x:c r="I34" s="20" t="str">
        <x:v>not captured</x:v>
      </x:c>
      <x:c r="J34" s="20" t="str">
        <x:v>not reported</x:v>
      </x:c>
      <x:c r="K34" s="20" t="str">
        <x:v>not reported</x:v>
      </x:c>
      <x:c r="L34" s="20" t="str">
        <x:v>Contextual mixture/formulation evidence</x:v>
      </x:c>
      <x:c r="M34" s="20" t="str">
        <x:v>PI3K/Akt/mTOR/metabolism; EMT/ECM/metastasis</x:v>
      </x:c>
      <x:c r="N34" s="20" t="str">
        <x:v>35942366</x:v>
      </x:c>
      <x:c r="O34" s="20" t="str">
        <x:v>PMID35942366</x:v>
      </x:c>
      <x:c r="P34" s="20" t="str">
        <x:v>isorhamnetin\202-35942366-study on the action mechanism of the source evid based complement alternat med so 2022.pdf</x:v>
      </x:c>
      <x:c r="Q34" s="20" t="str">
        <x:v>Study on the Action Mechanism of the Yifei Jianpi Tongfu Formula in Treatment of Colorectal Cancer Lung Metastasis Based on Network Analysis, Molecular Docking, and Experimental Validation.</x:v>
      </x:c>
      <x:c r="R34" s="20" t="str">
        <x:v>Included</x:v>
      </x:c>
      <x:c r="S34" s="20" t="str">
        <x:v>2022</x:v>
      </x:c>
      <x:c r="T34" s="20" t="str">
        <x:v>2022/07/30</x:v>
      </x:c>
      <x:c r="U34" s="20" t="str">
        <x:v>Luteolin</x:v>
      </x:c>
      <x:c r="V34" s="20" t="str">
        <x:v>益津通腑YJTF</x:v>
      </x:c>
      <x:c r="W34" s="20" t="str">
        <x:v>Not established from this row alone</x:v>
      </x:c>
      <x:c r="X34" s="20" t="str">
        <x:v>Dietary, generic botanical, or non-specific natural-product source</x:v>
      </x:c>
      <x:c r="Y34" s="20" t="str">
        <x:v>PMID 35942366; PMID35942366</x:v>
      </x:c>
      <x:c r="Z34" s="20" t="str">
        <x:v>Extract/formula/decoction contextual evidence</x:v>
      </x:c>
      <x:c r="AA34" s="20" t="str">
        <x:v>Row-level annotation; deduplicate by PMID for final reference-level counts</x:v>
      </x:c>
    </x:row>
    <x:row r="35">
      <x:c r="A35" s="20" t="str">
        <x:v>Luteolin</x:v>
      </x:c>
      <x:c r="B35" s="20" t="str">
        <x:v>Flavonoids</x:v>
      </x:c>
      <x:c r="C35" s="20" t="str">
        <x:v>爪哇布鲁塞 （BJ） 植物</x:v>
      </x:c>
      <x:c r="D35" s="20" t="str">
        <x:v>人结直肠癌细胞系、基因干扰模型：siGPSM2 细胞、 GPSM2 过表达模型、MTT 实验、集落形成实验</x:v>
      </x:c>
      <x:c r="E35" s="20" t="str">
        <x:v>In vitro</x:v>
      </x:c>
      <x:c r="F35" s="20" t="str">
        <x:v>not captured in source extraction</x:v>
      </x:c>
      <x:c r="G35" s="20" t="str">
        <x:v>GPSM2 通路</x:v>
      </x:c>
      <x:c r="H35" s="20" t="str">
        <x:v>抑制结直肠癌细胞活力；
抑制集落形成能力</x:v>
      </x:c>
      <x:c r="I35" s="20" t="str">
        <x:v>not captured</x:v>
      </x:c>
      <x:c r="J35" s="20" t="str">
        <x:v>not reported</x:v>
      </x:c>
      <x:c r="K35" s="20" t="str">
        <x:v>not reported</x:v>
      </x:c>
      <x:c r="L35" s="20" t="str">
        <x:v>Level 3: cell-based mechanistic evidence</x:v>
      </x:c>
      <x:c r="M35" s="20" t="str">
        <x:v>not assigned</x:v>
      </x:c>
      <x:c r="N35" s="20" t="str">
        <x:v>38823277</x:v>
      </x:c>
      <x:c r="O35" s="20" t="str">
        <x:v>PMID38823277</x:v>
      </x:c>
      <x:c r="P35" s="20" t="str">
        <x:v>Luteolin\34-38823277-decrease in gpsm2 mediated by the na source biomed pharmacother so 2024.pdf</x:v>
      </x:c>
      <x:c r="Q35" s="20" t="str">
        <x:v>Decrease in GPSM2 mediated by the natural product luteolin contributes to colon adenocarcinoma treatment and increases the sensitivity to fluorouracil.</x:v>
      </x:c>
      <x:c r="R35" s="20" t="str">
        <x:v>Included</x:v>
      </x:c>
      <x:c r="S35" s="20" t="str">
        <x:v>2024</x:v>
      </x:c>
      <x:c r="T35" s="20" t="str">
        <x:v>2024/07/01</x:v>
      </x:c>
      <x:c r="U35" s="20" t="str">
        <x:v>Luteolin</x:v>
      </x:c>
      <x:c r="V35" s="20" t="str">
        <x:v>爪哇布鲁塞 （BJ） 植物</x:v>
      </x:c>
      <x:c r="W35" s="20" t="str">
        <x:v>Not established from this row alone</x:v>
      </x:c>
      <x:c r="X35" s="20" t="str">
        <x:v>Dietary, generic botanical, or non-specific natural-product source</x:v>
      </x:c>
      <x:c r="Y35" s="20" t="str">
        <x:v>PMID 38823277; PMID38823277</x:v>
      </x:c>
      <x:c r="Z35" s="20" t="str">
        <x:v>Purified isolated compound: Luteolin</x:v>
      </x:c>
      <x:c r="AA35" s="20" t="str">
        <x:v>Row-level annotation; deduplicate by PMID for final reference-level counts</x:v>
      </x:c>
    </x:row>
    <x:row r="36">
      <x:c r="A36" s="20" t="str">
        <x:v>Luteolin</x:v>
      </x:c>
      <x:c r="B36" s="20" t="str">
        <x:v>Flavonoids</x:v>
      </x:c>
      <x:c r="C36" s="20" t="str">
        <x:v>Scutellaria barbata（半枝莲） 或 Hedyotis diffusa（白花蛇舌草）</x:v>
      </x:c>
      <x:c r="D36" s="20" t="str">
        <x:v>网络药理学 + 生物信息学分析</x:v>
      </x:c>
      <x:c r="E36" s="20" t="str">
        <x:v>Network/in silico</x:v>
      </x:c>
      <x:c r="F36" s="20" t="str">
        <x:v>not captured in source extraction</x:v>
      </x:c>
      <x:c r="G36" s="20" t="str">
        <x:v>PI3K-AKT 通路
MAPK 通路
Wnt/β-catenin 通路
JAK-STAT 通路
EGFR 通路
p53 通路
VEGF 通路</x:v>
      </x:c>
      <x:c r="H36" s="20" t="str">
        <x:v>抑制肿瘤血管生成；
诱导肿瘤细胞凋亡；
抑制炎症与增殖信号；
调控细胞周期与应激反应</x:v>
      </x:c>
      <x:c r="I36" s="20" t="str">
        <x:v>not captured</x:v>
      </x:c>
      <x:c r="J36" s="20" t="str">
        <x:v>not reported</x:v>
      </x:c>
      <x:c r="K36" s="20" t="str">
        <x:v>not reported</x:v>
      </x:c>
      <x:c r="L36" s="20" t="str">
        <x:v>Level 4: in silico-only</x:v>
      </x:c>
      <x:c r="M36" s="20" t="str">
        <x:v>Apoptosis/cell cycle; PI3K/Akt/mTOR/metabolism; Wnt/beta-catenin/stemness; NF-kB/STAT3/inflammation; MAPK/JNK/ERK</x:v>
      </x:c>
      <x:c r="N36" s="20" t="str">
        <x:v>35707465</x:v>
      </x:c>
      <x:c r="O36" s="20" t="str">
        <x:v>not available</x:v>
      </x:c>
      <x:c r="P36" s="20" t="str">
        <x:v>Luteolin\35-35707465-molecular targets and mechanisms of source evid based complement alternat med so 2022.pdf</x:v>
      </x:c>
      <x:c r="Q36" s="20" t="str">
        <x:v>not retained - incomplete bibliographic metadata</x:v>
      </x:c>
      <x:c r="R36" s="20" t="str">
        <x:v>Excluded: no CRC-specific model or outcome extracted</x:v>
      </x:c>
      <x:c r="S36" s="20" t="str">
        <x:v>2022</x:v>
      </x:c>
      <x:c r="T36" s="20" t="str">
        <x:v>2022/06/06</x:v>
      </x:c>
      <x:c r="U36" s="20" t="str">
        <x:v>Luteolin</x:v>
      </x:c>
      <x:c r="V36" s="20" t="str">
        <x:v>Scutellaria barbata（半枝莲） 或 Hedyotis diffusa（白花蛇舌草）</x:v>
      </x:c>
      <x:c r="W36" s="20" t="str">
        <x:v>Not established from this row alone</x:v>
      </x:c>
      <x:c r="X36" s="20" t="str">
        <x:v>Dietary, generic botanical, or non-specific natural-product source</x:v>
      </x:c>
      <x:c r="Y36" s="20" t="str">
        <x:v>PMID 35707465; not available</x:v>
      </x:c>
      <x:c r="Z36" s="20" t="str">
        <x:v>Not assessed for final attribution (excluded record)</x:v>
      </x:c>
      <x:c r="AA36" s="20" t="str">
        <x:v>Row-level annotation; deduplicate by PMID for final reference-level counts</x:v>
      </x:c>
    </x:row>
    <x:row r="37">
      <x:c r="A37" s="20" t="str">
        <x:v>Luteolin</x:v>
      </x:c>
      <x:c r="B37" s="20" t="str">
        <x:v>Flavonoids</x:v>
      </x:c>
      <x:c r="C37" s="20" t="str">
        <x:v>wenzi jiedu decoction</x:v>
      </x:c>
      <x:c r="D37" s="20" t="str">
        <x:v>分子对接和动物实验</x:v>
      </x:c>
      <x:c r="E37" s="20" t="str">
        <x:v>In vivo</x:v>
      </x:c>
      <x:c r="F37" s="20" t="str">
        <x:v>not captured in source extraction</x:v>
      </x:c>
      <x:c r="G37" s="20" t="str">
        <x:v>趋化因子信号通路和细胞凋亡</x:v>
      </x:c>
      <x:c r="H37" s="20" t="str">
        <x:v>细胞凋亡、免疫调节</x:v>
      </x:c>
      <x:c r="I37" s="20" t="str">
        <x:v>yes</x:v>
      </x:c>
      <x:c r="J37" s="20" t="str">
        <x:v>not reported</x:v>
      </x:c>
      <x:c r="K37" s="20" t="str">
        <x:v>not reported</x:v>
      </x:c>
      <x:c r="L37" s="20" t="str">
        <x:v>Contextual mixture/formulation evidence</x:v>
      </x:c>
      <x:c r="M37" s="20" t="str">
        <x:v>Apoptosis/cell cycle; PI3K/Akt/mTOR/metabolism; Immune microenvironment</x:v>
      </x:c>
      <x:c r="N37" s="20" t="str">
        <x:v>39731415</x:v>
      </x:c>
      <x:c r="O37" s="20" t="str">
        <x:v>PMID39731415</x:v>
      </x:c>
      <x:c r="P37" s="20" t="str">
        <x:v>Formononetin\105-39731415-Integrating UPLC MS MS Bioinformatic Source Phytochem Anal SO 2024 (1).pdf</x:v>
      </x:c>
      <x:c r="Q37" s="20" t="str">
        <x:v>Integrating UPLC-MS/MS Bioinformatics and In Vivo Experiments Validation to Elucidate the Mechanism of Wenzi Jiedu Decoction in Suppressing Colorectal Cancer.</x:v>
      </x:c>
      <x:c r="R37" s="20" t="str">
        <x:v>Included</x:v>
      </x:c>
      <x:c r="S37" s="20" t="str">
        <x:v>2025</x:v>
      </x:c>
      <x:c r="T37" s="20" t="str">
        <x:v>2025/06/01</x:v>
      </x:c>
      <x:c r="U37" s="20" t="str">
        <x:v>Luteolin</x:v>
      </x:c>
      <x:c r="V37" s="20" t="str">
        <x:v>wenzi jiedu decoction</x:v>
      </x:c>
      <x:c r="W37" s="20" t="str">
        <x:v>Source-dependent—named Chinese medicinal material or TCM preparation recorded</x:v>
      </x:c>
      <x:c r="X37" s="20" t="str">
        <x:v>Requires source-level constituent verification for the specific record</x:v>
      </x:c>
      <x:c r="Y37" s="20" t="str">
        <x:v>PMID 39731415; PMID39731415</x:v>
      </x:c>
      <x:c r="Z37" s="20" t="str">
        <x:v>Extract/formula/decoction contextual evidence</x:v>
      </x:c>
      <x:c r="AA37" s="20" t="str">
        <x:v>Row-level annotation; deduplicate by PMID for final reference-level counts</x:v>
      </x:c>
    </x:row>
    <x:row r="38">
      <x:c r="A38" s="20" t="str">
        <x:v>Luteolin</x:v>
      </x:c>
      <x:c r="B38" s="20" t="str">
        <x:v>Flavonoids</x:v>
      </x:c>
      <x:c r="C38" s="20" t="str">
        <x:v>橄榄油</x:v>
      </x:c>
      <x:c r="D38" s="20" t="str">
        <x:v>纯计算机模拟模型：
分子对接；
使用 PDB 结构：
PI3K (p110α) [PDB ID: 5DXT]、mTOR [PDB ID: 4JT5]</x:v>
      </x:c>
      <x:c r="E38" s="20" t="str">
        <x:v>Network/in silico</x:v>
      </x:c>
      <x:c r="F38" s="20" t="str">
        <x:v>not captured in source extraction</x:v>
      </x:c>
      <x:c r="G38" s="20" t="str">
        <x:v>PI3K/Akt/mTOR 信号轴</x:v>
      </x:c>
      <x:c r="H38" s="20" t="str">
        <x:v>not reported</x:v>
      </x:c>
      <x:c r="I38" s="20" t="str">
        <x:v>not captured</x:v>
      </x:c>
      <x:c r="J38" s="20" t="str">
        <x:v>not reported</x:v>
      </x:c>
      <x:c r="K38" s="20" t="str">
        <x:v>not reported</x:v>
      </x:c>
      <x:c r="L38" s="20" t="str">
        <x:v>Level 4: in silico-only</x:v>
      </x:c>
      <x:c r="M38" s="20" t="str">
        <x:v>PI3K/Akt/mTOR/metabolism</x:v>
      </x:c>
      <x:c r="N38" s="20" t="str">
        <x:v>34296655</x:v>
      </x:c>
      <x:c r="O38" s="20" t="str">
        <x:v>not available</x:v>
      </x:c>
      <x:c r="P38" s="20" t="str">
        <x:v>Luteolin\37-34296655-in silico approach to target pi3k akt mtor axis by.pdf</x:v>
      </x:c>
      <x:c r="Q38" s="20" t="str">
        <x:v>not retained - incomplete bibliographic metadata</x:v>
      </x:c>
      <x:c r="R38" s="20" t="str">
        <x:v>Excluded: no CRC-specific model or outcome extracted</x:v>
      </x:c>
      <x:c r="S38" s="20" t="str">
        <x:v>2022</x:v>
      </x:c>
      <x:c r="T38" s="20" t="str">
        <x:v>2022/01/01</x:v>
      </x:c>
      <x:c r="U38" s="20" t="str">
        <x:v>Luteolin</x:v>
      </x:c>
      <x:c r="V38" s="20" t="str">
        <x:v>橄榄油</x:v>
      </x:c>
      <x:c r="W38" s="20" t="str">
        <x:v>Not established from this row alone</x:v>
      </x:c>
      <x:c r="X38" s="20" t="str">
        <x:v>Dietary, generic botanical, or non-specific natural-product source</x:v>
      </x:c>
      <x:c r="Y38" s="20" t="str">
        <x:v>PMID 34296655; not available</x:v>
      </x:c>
      <x:c r="Z38" s="20" t="str">
        <x:v>Not assessed for final attribution (excluded record)</x:v>
      </x:c>
      <x:c r="AA38" s="20" t="str">
        <x:v>Row-level annotation; deduplicate by PMID for final reference-level counts</x:v>
      </x:c>
    </x:row>
    <x:row r="39">
      <x:c r="A39" s="20" t="str">
        <x:v>Luteolin</x:v>
      </x:c>
      <x:c r="B39" s="20" t="str">
        <x:v>Flavonoids</x:v>
      </x:c>
      <x:c r="C39" s="20" t="str">
        <x:v>多种水果、蔬菜及中药</x:v>
      </x:c>
      <x:c r="D39" s="20" t="str">
        <x:v>细胞模型：人结肠癌细胞系 HCT116 和 SW480
基因操作模型：
HIC1 过表达（pcDNA3.1-HIC1-3FLAG 转染）；
HIC1 基因沉默（HIC1-specific siRNAs）</x:v>
      </x:c>
      <x:c r="E39" s="20" t="str">
        <x:v>In vitro</x:v>
      </x:c>
      <x:c r="F39" s="20" t="str">
        <x:v>not captured in source extraction</x:v>
      </x:c>
      <x:c r="G39" s="20" t="str">
        <x:v>HIC1/GPX4 轴调控的铁死亡通路</x:v>
      </x:c>
      <x:c r="H39" s="20" t="str">
        <x:v>促进铁死亡；
协同增强 erastin 的抗肿瘤效应；
依赖 HIC1 表达状态</x:v>
      </x:c>
      <x:c r="I39" s="20" t="str">
        <x:v>not captured</x:v>
      </x:c>
      <x:c r="J39" s="20" t="str">
        <x:v>not reported</x:v>
      </x:c>
      <x:c r="K39" s="20" t="str">
        <x:v>not reported</x:v>
      </x:c>
      <x:c r="L39" s="20" t="str">
        <x:v>Level 3: cell-based mechanistic evidence</x:v>
      </x:c>
      <x:c r="M39" s="20" t="str">
        <x:v>ROS/ferroptosis</x:v>
      </x:c>
      <x:c r="N39" s="20" t="str">
        <x:v>37717793</x:v>
      </x:c>
      <x:c r="O39" s="20" t="str">
        <x:v>PMID37717793</x:v>
      </x:c>
      <x:c r="P39" s="20" t="str">
        <x:v>Luteolin\38-37717793-luteolin exhibits synergistic therap source free radic biol med so 2023.pdf</x:v>
      </x:c>
      <x:c r="Q39" s="20" t="str">
        <x:v>Luteolin exhibits synergistic therapeutic efficacy with erastin to induce ferroptosis in colon cancer cells through the HIC1-mediated inhibition of GPX4 expression.</x:v>
      </x:c>
      <x:c r="R39" s="20" t="str">
        <x:v>Included</x:v>
      </x:c>
      <x:c r="S39" s="20" t="str">
        <x:v>2023</x:v>
      </x:c>
      <x:c r="T39" s="20" t="str">
        <x:v>2023/11/01</x:v>
      </x:c>
      <x:c r="U39" s="20" t="str">
        <x:v>Luteolin</x:v>
      </x:c>
      <x:c r="V39" s="20" t="str">
        <x:v>多种水果、蔬菜及中药</x:v>
      </x:c>
      <x:c r="W39" s="20" t="str">
        <x:v>Source-dependent—named Chinese medicinal material or TCM preparation recorded</x:v>
      </x:c>
      <x:c r="X39" s="20" t="str">
        <x:v>Requires source-level constituent verification for the specific record</x:v>
      </x:c>
      <x:c r="Y39" s="20" t="str">
        <x:v>PMID 37717793; PMID37717793</x:v>
      </x:c>
      <x:c r="Z39" s="20" t="str">
        <x:v>Purified isolated compound: Luteolin</x:v>
      </x:c>
      <x:c r="AA39" s="20" t="str">
        <x:v>Row-level annotation; deduplicate by PMID for final reference-level counts</x:v>
      </x:c>
    </x:row>
    <x:row r="40">
      <x:c r="A40" s="20" t="str">
        <x:v>Luteolin</x:v>
      </x:c>
      <x:c r="B40" s="20" t="str">
        <x:v>Flavonoids</x:v>
      </x:c>
      <x:c r="C40" s="20" t="str">
        <x:v>水果和蔬菜</x:v>
      </x:c>
      <x:c r="D40" s="20" t="str">
        <x:v>体内：脑出血小鼠模型
体外：PC-3 前列腺癌细胞、口腔癌干细胞、急性肺损伤模型</x:v>
      </x:c>
      <x:c r="E40" s="20" t="str">
        <x:v>In vitro + in vivo</x:v>
      </x:c>
      <x:c r="F40" s="20" t="str">
        <x:v>not captured in source extraction</x:v>
      </x:c>
      <x:c r="G40" s="20" t="str">
        <x:v>p62/Keap1/Nrf2 通路；
IL-10 依赖性巨噬细胞极化；
IL-6/STAT3 信号通路抑制；
Wnt 信号通路抑制</x:v>
      </x:c>
      <x:c r="H40" s="20" t="str">
        <x:v>神经保护镇痛、抗炎、抑制癌干细胞放射抵抗性、抑制前列腺癌 Wnt 信号、促进 Treg 分化与 M2 巨噬细胞极化</x:v>
      </x:c>
      <x:c r="I40" s="20" t="str">
        <x:v>not captured</x:v>
      </x:c>
      <x:c r="J40" s="20" t="str">
        <x:v>not reported</x:v>
      </x:c>
      <x:c r="K40" s="20" t="str">
        <x:v>not reported</x:v>
      </x:c>
      <x:c r="L40" s="20" t="str">
        <x:v>Contextual review-only</x:v>
      </x:c>
      <x:c r="M40" s="20" t="str">
        <x:v>Wnt/beta-catenin/stemness; NF-kB/STAT3/inflammation; Immune microenvironment</x:v>
      </x:c>
      <x:c r="N40" s="20" t="str">
        <x:v>38455556</x:v>
      </x:c>
      <x:c r="O40" s="20" t="str">
        <x:v>PMID38455556</x:v>
      </x:c>
      <x:c r="P40" s="20" t="str">
        <x:v>Luteolin\39-38455556-revisiting luteolin an updated revi source heliyon so 2024.pdf</x:v>
      </x:c>
      <x:c r="Q40" s="20" t="str">
        <x:v>Revisiting luteolin: An updated review on its anticancer potential.</x:v>
      </x:c>
      <x:c r="R40" s="20" t="str">
        <x:v>Excluded: no CRC-specific model or outcome extracted</x:v>
      </x:c>
      <x:c r="S40" s="20" t="str">
        <x:v>2024</x:v>
      </x:c>
      <x:c r="T40" s="20" t="str">
        <x:v>2024/02/20</x:v>
      </x:c>
      <x:c r="U40" s="20" t="str">
        <x:v>Luteolin</x:v>
      </x:c>
      <x:c r="V40" s="20" t="str">
        <x:v>水果和蔬菜</x:v>
      </x:c>
      <x:c r="W40" s="20" t="str">
        <x:v>Not established from this row alone</x:v>
      </x:c>
      <x:c r="X40" s="20" t="str">
        <x:v>Dietary, generic botanical, or non-specific natural-product source</x:v>
      </x:c>
      <x:c r="Y40" s="20" t="str">
        <x:v>PMID 38455556; PMID38455556</x:v>
      </x:c>
      <x:c r="Z40" s="20" t="str">
        <x:v>Not assessed for final attribution (excluded record)</x:v>
      </x:c>
      <x:c r="AA40" s="20" t="str">
        <x:v>Row-level annotation; deduplicate by PMID for final reference-level counts</x:v>
      </x:c>
    </x:row>
    <x:row r="41">
      <x:c r="A41" s="20" t="str">
        <x:v>Luteolin</x:v>
      </x:c>
      <x:c r="B41" s="20" t="str">
        <x:v>Flavonoids</x:v>
      </x:c>
      <x:c r="C41" s="20" t="str">
        <x:v>Erteng Sanjie decoction (ETSJC，二藤散结方)</x:v>
      </x:c>
      <x:c r="D41" s="20" t="str">
        <x:v>体内模型：异种移植瘤模型</x:v>
      </x:c>
      <x:c r="E41" s="20" t="str">
        <x:v>In vivo</x:v>
      </x:c>
      <x:c r="F41" s="20" t="str">
        <x:v>not captured in source extraction</x:v>
      </x:c>
      <x:c r="G41" s="20" t="str">
        <x:v>KEGG 通路</x:v>
      </x:c>
      <x:c r="H41" s="20" t="str">
        <x:v>抑制肿瘤细胞增殖、促进肿瘤细胞凋亡</x:v>
      </x:c>
      <x:c r="I41" s="20" t="str">
        <x:v>yes</x:v>
      </x:c>
      <x:c r="J41" s="20" t="str">
        <x:v>not reported</x:v>
      </x:c>
      <x:c r="K41" s="20" t="str">
        <x:v>not reported</x:v>
      </x:c>
      <x:c r="L41" s="20" t="str">
        <x:v>Level 2: in vivo evidence</x:v>
      </x:c>
      <x:c r="M41" s="20" t="str">
        <x:v>Apoptosis/cell cycle; PI3K/Akt/mTOR/metabolism; MAPK/JNK/ERK</x:v>
      </x:c>
      <x:c r="N41" s="20" t="str">
        <x:v>38428659</x:v>
      </x:c>
      <x:c r="O41" s="20" t="str">
        <x:v>PMID38428659</x:v>
      </x:c>
      <x:c r="P41" s="20" t="str">
        <x:v>Kaempferol\94-38428659-exploring the mechanism of erteng sa source j ethnopharmacol so 2024.pdf</x:v>
      </x:c>
      <x:c r="Q41" s="20" t="str">
        <x:v>Exploring the mechanism of Erteng-Sanjie capsule in treating gastric and colorectal cancers via network pharmacology and in-vivo validation.</x:v>
      </x:c>
      <x:c r="R41" s="20" t="str">
        <x:v>Included</x:v>
      </x:c>
      <x:c r="S41" s="20" t="str">
        <x:v>2024</x:v>
      </x:c>
      <x:c r="T41" s="20" t="str">
        <x:v>2024/06/12</x:v>
      </x:c>
      <x:c r="U41" s="20" t="str">
        <x:v>Luteolin</x:v>
      </x:c>
      <x:c r="V41" s="20" t="str">
        <x:v>Erteng Sanjie decoction (ETSJC，二藤散结方)</x:v>
      </x:c>
      <x:c r="W41" s="20" t="str">
        <x:v>Source-dependent—named Chinese medicinal material or TCM preparation recorded</x:v>
      </x:c>
      <x:c r="X41" s="20" t="str">
        <x:v>Requires source-level constituent verification for the specific record</x:v>
      </x:c>
      <x:c r="Y41" s="20" t="str">
        <x:v>PMID 38428659; PMID38428659</x:v>
      </x:c>
      <x:c r="Z41" s="20" t="str">
        <x:v>Extract/formula/decoction contextual evidence</x:v>
      </x:c>
      <x:c r="AA41" s="20" t="str">
        <x:v>Row-level annotation; deduplicate by PMID for final reference-level counts</x:v>
      </x:c>
    </x:row>
    <x:row r="42">
      <x:c r="A42" s="20" t="str">
        <x:v>Luteolin</x:v>
      </x:c>
      <x:c r="B42" s="20" t="str">
        <x:v>Flavonoids</x:v>
      </x:c>
      <x:c r="C42" s="20" t="str">
        <x:v>植物类黄酮</x:v>
      </x:c>
      <x:c r="D42" s="20" t="str">
        <x:v>人结直肠癌细胞系 HCT116；
细胞培养基：RPMI-1640；
含抗生素培养体系；
MTT 法检测细胞活力</x:v>
      </x:c>
      <x:c r="E42" s="20" t="str">
        <x:v>In vitro</x:v>
      </x:c>
      <x:c r="F42" s="20" t="str">
        <x:v>not captured in source extraction</x:v>
      </x:c>
      <x:c r="G42" s="20" t="str">
        <x:v>Wnt/β-catenin 通路
GSK3β 通路
NF-κB 通路</x:v>
      </x:c>
      <x:c r="H42" s="20" t="str">
        <x:v>诱导构象变化</x:v>
      </x:c>
      <x:c r="I42" s="20" t="str">
        <x:v>not captured</x:v>
      </x:c>
      <x:c r="J42" s="20" t="str">
        <x:v>not reported</x:v>
      </x:c>
      <x:c r="K42" s="20" t="str">
        <x:v>not reported</x:v>
      </x:c>
      <x:c r="L42" s="20" t="str">
        <x:v>Level 3: cell-based mechanistic evidence</x:v>
      </x:c>
      <x:c r="M42" s="20" t="str">
        <x:v>PI3K/Akt/mTOR/metabolism; Wnt/beta-catenin/stemness; NF-kB/STAT3/inflammation; EMT/ECM/metastasis</x:v>
      </x:c>
      <x:c r="N42" s="20" t="str">
        <x:v>39300917</x:v>
      </x:c>
      <x:c r="O42" s="20" t="str">
        <x:v>PMID39300917</x:v>
      </x:c>
      <x:c r="P42" s="20" t="str">
        <x:v>Luteolin\41-39300917-revisiting luteolin against the medi source j cell biochem so 2024.pdf</x:v>
      </x:c>
      <x:c r="Q42" s="20" t="str">
        <x:v>Revisiting Luteolin Against the Mediators of Human Metastatic Colorectal Carcinoma: A Biomolecular Approach.</x:v>
      </x:c>
      <x:c r="R42" s="20" t="str">
        <x:v>Included</x:v>
      </x:c>
      <x:c r="S42" s="20" t="str">
        <x:v>2025</x:v>
      </x:c>
      <x:c r="T42" s="20" t="str">
        <x:v>2025/01/01</x:v>
      </x:c>
      <x:c r="U42" s="20" t="str">
        <x:v>Luteolin</x:v>
      </x:c>
      <x:c r="V42" s="20" t="str">
        <x:v>植物类黄酮</x:v>
      </x:c>
      <x:c r="W42" s="20" t="str">
        <x:v>Not established from this row alone</x:v>
      </x:c>
      <x:c r="X42" s="20" t="str">
        <x:v>Dietary, generic botanical, or non-specific natural-product source</x:v>
      </x:c>
      <x:c r="Y42" s="20" t="str">
        <x:v>PMID 39300917; PMID39300917</x:v>
      </x:c>
      <x:c r="Z42" s="20" t="str">
        <x:v>Purified isolated compound: Luteolin</x:v>
      </x:c>
      <x:c r="AA42" s="20" t="str">
        <x:v>Row-level annotation; deduplicate by PMID for final reference-level counts</x:v>
      </x:c>
    </x:row>
    <x:row r="43">
      <x:c r="A43" s="20" t="str">
        <x:v>Luteolin</x:v>
      </x:c>
      <x:c r="B43" s="20" t="str">
        <x:v>Flavonoids</x:v>
      </x:c>
      <x:c r="C43" s="20" t="str">
        <x:v>西番莲（Passiflora edulis）叶提取物</x:v>
      </x:c>
      <x:c r="D43" s="20" t="str">
        <x:v>计算模型：分子对接</x:v>
      </x:c>
      <x:c r="E43" s="20" t="str">
        <x:v>Network/in silico</x:v>
      </x:c>
      <x:c r="F43" s="20" t="str">
        <x:v>not captured in source extraction</x:v>
      </x:c>
      <x:c r="G43" s="20" t="str">
        <x:v>靶向脂质代谢关键酶，调控脂质代谢通路。</x:v>
      </x:c>
      <x:c r="H43" s="20" t="str">
        <x:v>胆固醇合成↓
脂肪酸合成↓</x:v>
      </x:c>
      <x:c r="I43" s="20" t="str">
        <x:v>not captured</x:v>
      </x:c>
      <x:c r="J43" s="20" t="str">
        <x:v>not reported</x:v>
      </x:c>
      <x:c r="K43" s="20" t="str">
        <x:v>not reported</x:v>
      </x:c>
      <x:c r="L43" s="20" t="str">
        <x:v>Level 4: in silico-only</x:v>
      </x:c>
      <x:c r="M43" s="20" t="str">
        <x:v>not assigned</x:v>
      </x:c>
      <x:c r="N43" s="20" t="str">
        <x:v>37009402</x:v>
      </x:c>
      <x:c r="O43" s="20" t="str">
        <x:v>not available</x:v>
      </x:c>
      <x:c r="P43" s="20" t="str">
        <x:v>Luteolin\42-37009402-identification of potential bioactiv source biochem biophys rep so 2023.pdf</x:v>
      </x:c>
      <x:c r="Q43" s="20" t="str">
        <x:v>not retained - incomplete bibliographic metadata</x:v>
      </x:c>
      <x:c r="R43" s="20" t="str">
        <x:v>Excluded: no CRC-specific model or outcome extracted</x:v>
      </x:c>
      <x:c r="S43" s="20" t="str">
        <x:v>2023</x:v>
      </x:c>
      <x:c r="T43" s="20" t="str">
        <x:v>2023/03/28</x:v>
      </x:c>
      <x:c r="U43" s="20" t="str">
        <x:v>Luteolin</x:v>
      </x:c>
      <x:c r="V43" s="20" t="str">
        <x:v>西番莲（Passiflora edulis）叶提取物</x:v>
      </x:c>
      <x:c r="W43" s="20" t="str">
        <x:v>Not established from this row alone</x:v>
      </x:c>
      <x:c r="X43" s="20" t="str">
        <x:v>Dietary, generic botanical, or non-specific natural-product source</x:v>
      </x:c>
      <x:c r="Y43" s="20" t="str">
        <x:v>PMID 37009402; not available</x:v>
      </x:c>
      <x:c r="Z43" s="20" t="str">
        <x:v>Not assessed for final attribution (excluded record)</x:v>
      </x:c>
      <x:c r="AA43" s="20" t="str">
        <x:v>Row-level annotation; deduplicate by PMID for final reference-level counts</x:v>
      </x:c>
    </x:row>
    <x:row r="44">
      <x:c r="A44" s="20" t="str">
        <x:v>Luteolin</x:v>
      </x:c>
      <x:c r="B44" s="20" t="str">
        <x:v>Flavonoids</x:v>
      </x:c>
      <x:c r="C44" s="20" t="str">
        <x:v>多种植物中（如西兰花、辣椒、百里香）</x:v>
      </x:c>
      <x:c r="D44" s="20" t="str">
        <x:v>体外细胞模型（qRT-PCR 检测基因表达、 Western blot 检测蛋白水平）</x:v>
      </x:c>
      <x:c r="E44" s="20" t="str">
        <x:v>In vitro</x:v>
      </x:c>
      <x:c r="F44" s="20" t="str">
        <x:v>not captured in source extraction</x:v>
      </x:c>
      <x:c r="G44" s="20" t="str">
        <x:v>PPARγ 通路；抗氧化通路；</x:v>
      </x:c>
      <x:c r="H44" s="20" t="str">
        <x:v>显著上调 HO-1 mRNA 表达；
轻度上调 SOD mRNA 表达；
逆转伊立替康（irinotecan）引起的 SOD-1 蛋白下降</x:v>
      </x:c>
      <x:c r="I44" s="20" t="str">
        <x:v>not captured</x:v>
      </x:c>
      <x:c r="J44" s="20" t="str">
        <x:v>not reported</x:v>
      </x:c>
      <x:c r="K44" s="20" t="str">
        <x:v>not reported</x:v>
      </x:c>
      <x:c r="L44" s="20" t="str">
        <x:v>Level 3: cell-based mechanistic evidence</x:v>
      </x:c>
      <x:c r="M44" s="20" t="str">
        <x:v>ROS/ferroptosis</x:v>
      </x:c>
      <x:c r="N44" s="20" t="str">
        <x:v>34699766</x:v>
      </x:c>
      <x:c r="O44" s="20" t="str">
        <x:v>PMID34699766</x:v>
      </x:c>
      <x:c r="P44" s="20" t="str">
        <x:v>Luteolin\43-34699766-the ppar-dependent effect of flavonoid luteolin against.pdf</x:v>
      </x:c>
      <x:c r="Q44" s="20" t="str">
        <x:v>The PPARgamma-dependent effect of flavonoid luteolin against damage induced by the chemotherapeutic irinotecan in human intestinal cells.</x:v>
      </x:c>
      <x:c r="R44" s="20" t="str">
        <x:v>Excluded: no CRC-specific model or outcome extracted</x:v>
      </x:c>
      <x:c r="S44" s="20" t="str">
        <x:v>2022</x:v>
      </x:c>
      <x:c r="T44" s="20" t="str">
        <x:v>2022/01/05</x:v>
      </x:c>
      <x:c r="U44" s="20" t="str">
        <x:v>Luteolin</x:v>
      </x:c>
      <x:c r="V44" s="20" t="str">
        <x:v>多种植物中（如西兰花、辣椒、百里香）</x:v>
      </x:c>
      <x:c r="W44" s="20" t="str">
        <x:v>Not established from this row alone</x:v>
      </x:c>
      <x:c r="X44" s="20" t="str">
        <x:v>Dietary, generic botanical, or non-specific natural-product source</x:v>
      </x:c>
      <x:c r="Y44" s="20" t="str">
        <x:v>PMID 34699766; PMID34699766</x:v>
      </x:c>
      <x:c r="Z44" s="20" t="str">
        <x:v>Not assessed for final attribution (excluded record)</x:v>
      </x:c>
      <x:c r="AA44" s="20" t="str">
        <x:v>Row-level annotation; deduplicate by PMID for final reference-level counts</x:v>
      </x:c>
    </x:row>
    <x:row r="45">
      <x:c r="A45" s="20" t="str">
        <x:v>Luteolin</x:v>
      </x:c>
      <x:c r="B45" s="20" t="str">
        <x:v>Flavonoids</x:v>
      </x:c>
      <x:c r="C45" s="20" t="str">
        <x:v>蜂胶（propolis）中的黄酮类成分</x:v>
      </x:c>
      <x:c r="D45" s="20" t="str">
        <x:v>纯计算分析：基于网络药理学构建“化合物–靶点”（C–T）网络，并进行分子对接模拟。</x:v>
      </x:c>
      <x:c r="E45" s="20" t="str">
        <x:v>Network/in silico</x:v>
      </x:c>
      <x:c r="F45" s="20" t="str">
        <x:v>not captured in source extraction</x:v>
      </x:c>
      <x:c r="G45" s="20" t="str">
        <x:v>预测
MAPK 信号通路
炎症与基质降解
氧化应激调控
转录调控</x:v>
      </x:c>
      <x:c r="H45" s="20" t="str">
        <x:v>调控转录因子 AP-1 活性；
抑制基质金属蛋白酶 MMP9； 
调节一氧化氮合成酶 NOS3（影响血管功能与氧化应激）；
抑制 MAPK8（JNK）信号</x:v>
      </x:c>
      <x:c r="I45" s="20" t="str">
        <x:v>not captured</x:v>
      </x:c>
      <x:c r="J45" s="20" t="str">
        <x:v>not reported</x:v>
      </x:c>
      <x:c r="K45" s="20" t="str">
        <x:v>not reported</x:v>
      </x:c>
      <x:c r="L45" s="20" t="str">
        <x:v>Level 4: in silico-only</x:v>
      </x:c>
      <x:c r="M45" s="20" t="str">
        <x:v>NF-kB/STAT3/inflammation; MAPK/JNK/ERK; ROS/ferroptosis; EMT/ECM/metastasis</x:v>
      </x:c>
      <x:c r="N45" s="20" t="str">
        <x:v>35423607</x:v>
      </x:c>
      <x:c r="O45" s="20" t="str">
        <x:v>not available</x:v>
      </x:c>
      <x:c r="P45" s="20" t="str">
        <x:v>Luteolin\44-35423607-network pharmacology based analysis source rsc adv so 2021 mar 16 11 19 11610 11626.pdf</x:v>
      </x:c>
      <x:c r="Q45" s="20" t="str">
        <x:v>not retained - incomplete bibliographic metadata</x:v>
      </x:c>
      <x:c r="R45" s="20" t="str">
        <x:v>Excluded: no CRC-specific model or outcome extracted</x:v>
      </x:c>
      <x:c r="S45" s="20" t="str">
        <x:v>2021</x:v>
      </x:c>
      <x:c r="T45" s="20" t="str">
        <x:v>2021/03/22</x:v>
      </x:c>
      <x:c r="U45" s="20" t="str">
        <x:v>Luteolin</x:v>
      </x:c>
      <x:c r="V45" s="20" t="str">
        <x:v>蜂胶（propolis）中的黄酮类成分</x:v>
      </x:c>
      <x:c r="W45" s="20" t="str">
        <x:v>Not established from this row alone</x:v>
      </x:c>
      <x:c r="X45" s="20" t="str">
        <x:v>Dietary, generic botanical, or non-specific natural-product source</x:v>
      </x:c>
      <x:c r="Y45" s="20" t="str">
        <x:v>PMID 35423607; not available</x:v>
      </x:c>
      <x:c r="Z45" s="20" t="str">
        <x:v>Not assessed for final attribution (excluded record)</x:v>
      </x:c>
      <x:c r="AA45" s="20" t="str">
        <x:v>Row-level annotation; deduplicate by PMID for final reference-level counts</x:v>
      </x:c>
    </x:row>
    <x:row r="46">
      <x:c r="A46" s="20" t="str">
        <x:v>Luteolin</x:v>
      </x:c>
      <x:c r="B46" s="20" t="str">
        <x:v>Flavonoids</x:v>
      </x:c>
      <x:c r="C46" s="20" t="str">
        <x:v>芹菜素</x:v>
      </x:c>
      <x:c r="D46" s="20" t="str">
        <x:v>人结肠癌细胞系：COLO-205、HCT-116</x:v>
      </x:c>
      <x:c r="E46" s="20" t="str">
        <x:v>In vitro</x:v>
      </x:c>
      <x:c r="F46" s="20" t="str">
        <x:v>not captured in source extraction</x:v>
      </x:c>
      <x:c r="G46" s="20" t="str">
        <x:v>HSP90AA1、PTGS2、MMP9</x:v>
      </x:c>
      <x:c r="H46" s="20" t="str">
        <x:v>抑制结肠癌细胞活力</x:v>
      </x:c>
      <x:c r="I46" s="20" t="str">
        <x:v>not captured</x:v>
      </x:c>
      <x:c r="J46" s="20" t="str">
        <x:v>not reported</x:v>
      </x:c>
      <x:c r="K46" s="20" t="str">
        <x:v>not reported</x:v>
      </x:c>
      <x:c r="L46" s="20" t="str">
        <x:v>Level 3: cell-based mechanistic evidence</x:v>
      </x:c>
      <x:c r="M46" s="20" t="str">
        <x:v>EMT/ECM/metastasis</x:v>
      </x:c>
      <x:c r="N46" s="20" t="str">
        <x:v>38157250</x:v>
      </x:c>
      <x:c r="O46" s="20" t="str">
        <x:v>PMID38157250</x:v>
      </x:c>
      <x:c r="P46" s="20" t="str">
        <x:v>Luteolin\45-38157250-apigenin exerts anti cancer effects source j biomol struct dyn so 2023.pdf</x:v>
      </x:c>
      <x:c r="Q46" s="20" t="str">
        <x:v>Apigenin exerts anti-cancer effects in colon cancer by targeting HSP90AA1.</x:v>
      </x:c>
      <x:c r="R46" s="20" t="str">
        <x:v>Included</x:v>
      </x:c>
      <x:c r="S46" s="20" t="str">
        <x:v>2025</x:v>
      </x:c>
      <x:c r="T46" s="20" t="str">
        <x:v>2025/04/01</x:v>
      </x:c>
      <x:c r="U46" s="20" t="str">
        <x:v>Luteolin</x:v>
      </x:c>
      <x:c r="V46" s="20" t="str">
        <x:v>芹菜素</x:v>
      </x:c>
      <x:c r="W46" s="20" t="str">
        <x:v>Not established from this row alone</x:v>
      </x:c>
      <x:c r="X46" s="20" t="str">
        <x:v>Dietary, generic botanical, or non-specific natural-product source</x:v>
      </x:c>
      <x:c r="Y46" s="20" t="str">
        <x:v>PMID 38157250; PMID38157250</x:v>
      </x:c>
      <x:c r="Z46" s="20" t="str">
        <x:v>Purified isolated compound: Luteolin</x:v>
      </x:c>
      <x:c r="AA46" s="20" t="str">
        <x:v>Row-level annotation; deduplicate by PMID for final reference-level counts</x:v>
      </x:c>
    </x:row>
    <x:row r="47">
      <x:c r="A47" s="20" t="str">
        <x:v>Luteolin</x:v>
      </x:c>
      <x:c r="B47" s="20" t="str">
        <x:v>Flavonoids</x:v>
      </x:c>
      <x:c r="C47" s="20" t="str">
        <x:v>Tanacetum erzincanense 的地上部分获得的甲醇 （ME） 提取物</x:v>
      </x:c>
      <x:c r="D47" s="20" t="str">
        <x:v>体外模型</x:v>
      </x:c>
      <x:c r="E47" s="20" t="str">
        <x:v>In vitro</x:v>
      </x:c>
      <x:c r="F47" s="20" t="str">
        <x:v>not captured in source extraction</x:v>
      </x:c>
      <x:c r="G47" s="20" t="str">
        <x:v>not reported</x:v>
      </x:c>
      <x:c r="H47" s="20" t="str">
        <x:v>抗氧化和抑制癌细胞增殖</x:v>
      </x:c>
      <x:c r="I47" s="20" t="str">
        <x:v>not captured</x:v>
      </x:c>
      <x:c r="J47" s="20" t="str">
        <x:v>not reported</x:v>
      </x:c>
      <x:c r="K47" s="20" t="str">
        <x:v>not reported</x:v>
      </x:c>
      <x:c r="L47" s="20" t="str">
        <x:v>Contextual mixture/formulation evidence</x:v>
      </x:c>
      <x:c r="M47" s="20" t="str">
        <x:v>ROS/ferroptosis</x:v>
      </x:c>
      <x:c r="N47" s="20" t="str">
        <x:v>33464702</x:v>
      </x:c>
      <x:c r="O47" s="20" t="str">
        <x:v>PMID33464702</x:v>
      </x:c>
      <x:c r="P47" s="20" t="str">
        <x:v>Luteolin\46-33464702-in vitro antioxidant and cytotoxic.pdf</x:v>
      </x:c>
      <x:c r="Q47" s="20" t="str">
        <x:v>In vitro Antioxidant and Cytotoxic Activities of Extracts of Endemic Tanacetum erzincanense Together with Phenolic Content by LC-ESI-QTOF-MS.</x:v>
      </x:c>
      <x:c r="R47" s="20" t="str">
        <x:v>Excluded: no CRC-specific model or outcome extracted</x:v>
      </x:c>
      <x:c r="S47" s="20" t="str">
        <x:v>2021</x:v>
      </x:c>
      <x:c r="T47" s="20" t="str">
        <x:v>2021/03/01</x:v>
      </x:c>
      <x:c r="U47" s="20" t="str">
        <x:v>Luteolin</x:v>
      </x:c>
      <x:c r="V47" s="20" t="str">
        <x:v>Tanacetum erzincanense 的地上部分获得的甲醇 （ME） 提取物</x:v>
      </x:c>
      <x:c r="W47" s="20" t="str">
        <x:v>Not established from this row alone</x:v>
      </x:c>
      <x:c r="X47" s="20" t="str">
        <x:v>Dietary, generic botanical, or non-specific natural-product source</x:v>
      </x:c>
      <x:c r="Y47" s="20" t="str">
        <x:v>PMID 33464702; PMID33464702</x:v>
      </x:c>
      <x:c r="Z47" s="20" t="str">
        <x:v>Not assessed for final attribution (excluded record)</x:v>
      </x:c>
      <x:c r="AA47" s="20" t="str">
        <x:v>Row-level annotation; deduplicate by PMID for final reference-level counts</x:v>
      </x:c>
    </x:row>
    <x:row r="48">
      <x:c r="A48" s="20" t="str">
        <x:v>Luteolin</x:v>
      </x:c>
      <x:c r="B48" s="20" t="str">
        <x:v>Flavonoids</x:v>
      </x:c>
      <x:c r="C48" s="20" t="str">
        <x:v>甘薯</x:v>
      </x:c>
      <x:c r="D48" s="20" t="str">
        <x:v>计算机模拟 + 分子动力学（MD）模型</x:v>
      </x:c>
      <x:c r="E48" s="20" t="str">
        <x:v>Network/in silico</x:v>
      </x:c>
      <x:c r="F48" s="20" t="str">
        <x:v>not captured in source extraction</x:v>
      </x:c>
      <x:c r="G48" s="20" t="str">
        <x:v>PTP1B通路</x:v>
      </x:c>
      <x:c r="H48" s="20" t="str">
        <x:v>1.与 PTP1B 形成稳定复合物
2.表现出较优的结合自由能（优于部分黄酮，但弱于对照抑制剂）
3.结合稳定性依赖范德华力</x:v>
      </x:c>
      <x:c r="I48" s="20" t="str">
        <x:v>not captured</x:v>
      </x:c>
      <x:c r="J48" s="20" t="str">
        <x:v>not reported</x:v>
      </x:c>
      <x:c r="K48" s="20" t="str">
        <x:v>not reported</x:v>
      </x:c>
      <x:c r="L48" s="20" t="str">
        <x:v>Level 4: in silico-only</x:v>
      </x:c>
      <x:c r="M48" s="20" t="str">
        <x:v>ROS/ferroptosis</x:v>
      </x:c>
      <x:c r="N48" s="20" t="str">
        <x:v>35119127</x:v>
      </x:c>
      <x:c r="O48" s="20" t="str">
        <x:v>PMID35119127</x:v>
      </x:c>
      <x:c r="P48" s="20" t="str">
        <x:v>Luteolin\47-35119127-targeting protein tyrosine phosphatase 1b in obesity-associated colon cancepos.pdf</x:v>
      </x:c>
      <x:c r="Q48" s="20" t="str">
        <x:v>Targeting protein tyrosine phosphatase 1B in obesity-associated colon cancer: Possible role of sweet potato (Ipomoea batatas).</x:v>
      </x:c>
      <x:c r="R48" s="20" t="str">
        <x:v>Included</x:v>
      </x:c>
      <x:c r="S48" s="20" t="str">
        <x:v>2022</x:v>
      </x:c>
      <x:c r="T48" s="20" t="str">
        <x:v>2022/06/01</x:v>
      </x:c>
      <x:c r="U48" s="20" t="str">
        <x:v>Luteolin</x:v>
      </x:c>
      <x:c r="V48" s="20" t="str">
        <x:v>甘薯</x:v>
      </x:c>
      <x:c r="W48" s="20" t="str">
        <x:v>Not established from this row alone</x:v>
      </x:c>
      <x:c r="X48" s="20" t="str">
        <x:v>Dietary, generic botanical, or non-specific natural-product source</x:v>
      </x:c>
      <x:c r="Y48" s="20" t="str">
        <x:v>PMID 35119127; PMID35119127</x:v>
      </x:c>
      <x:c r="Z48" s="20" t="str">
        <x:v>Network pharmacology/in silico evidence</x:v>
      </x:c>
      <x:c r="AA48" s="20" t="str">
        <x:v>Row-level annotation; deduplicate by PMID for final reference-level counts</x:v>
      </x:c>
    </x:row>
    <x:row r="49">
      <x:c r="A49" s="20" t="str">
        <x:v>Kaempferol</x:v>
      </x:c>
      <x:c r="B49" s="20" t="str">
        <x:v>Flavonoids</x:v>
      </x:c>
      <x:c r="C49" s="20" t="str">
        <x:v>Qi-Qin-Hu-Chang Formula (QQHCF, Patent number CN202211655092.8),79
is derived from Qing-Chang-Hua-Shi granule, Buqi Yunpi Decoction and Xiangshen80
Pill with modifications by Professor Shen</x:v>
      </x:c>
      <x:c r="D49" s="20" t="str">
        <x:v>网络药理学</x:v>
      </x:c>
      <x:c r="E49" s="20" t="str">
        <x:v>Network/in silico</x:v>
      </x:c>
      <x:c r="F49" s="20" t="str">
        <x:v>not captured in source extraction</x:v>
      </x:c>
      <x:c r="G49" s="20" t="str">
        <x:v>p38 MAPK 通路 和 Caspase 家族通路</x:v>
      </x:c>
      <x:c r="H49" s="20" t="str">
        <x:v>诱导结直肠癌细胞凋亡，抗炎、抗血管生成</x:v>
      </x:c>
      <x:c r="I49" s="20" t="str">
        <x:v>not captured</x:v>
      </x:c>
      <x:c r="J49" s="20" t="str">
        <x:v>not reported</x:v>
      </x:c>
      <x:c r="K49" s="20" t="str">
        <x:v>not reported</x:v>
      </x:c>
      <x:c r="L49" s="20" t="str">
        <x:v>Contextual mixture/formulation evidence</x:v>
      </x:c>
      <x:c r="M49" s="20" t="str">
        <x:v>Apoptosis/cell cycle; MAPK/JNK/ERK</x:v>
      </x:c>
      <x:c r="N49" s="20" t="str">
        <x:v>37852337</x:v>
      </x:c>
      <x:c r="O49" s="20" t="str">
        <x:v>PMID37852337</x:v>
      </x:c>
      <x:c r="P49" s="20" t="str">
        <x:v>Kaempferol\48-37852337-A network pharmacology approach and Source J Ethnopharmacol SO 2023.pdf</x:v>
      </x:c>
      <x:c r="Q49" s="20" t="str">
        <x:v>A network pharmacology approach and experimental validation to investigate the anticancer mechanism of Qi-Qin-Hu-Chang formula against colitis-associated colorectal cancer through induction of apoptosis via JNK/p38 MAPK signaling pathway.</x:v>
      </x:c>
      <x:c r="R49" s="20" t="str">
        <x:v>Included</x:v>
      </x:c>
      <x:c r="S49" s="20" t="str">
        <x:v>2024</x:v>
      </x:c>
      <x:c r="T49" s="20" t="str">
        <x:v>2024/01/30</x:v>
      </x:c>
      <x:c r="U49" s="20" t="str">
        <x:v>Kaempferol</x:v>
      </x:c>
      <x:c r="V49" s="20" t="str">
        <x:v>Qi-Qin-Hu-Chang Formula (QQHCF, Patent number CN202211655092.8),79
is derived from Qing-Chang-Hua-Shi granule, Buqi Yunpi Decoction and Xiangshen80
Pill with modifications by Professor Shen</x:v>
      </x:c>
      <x:c r="W49" s="20" t="str">
        <x:v>Source-dependent—named Chinese medicinal material or TCM preparation recorded</x:v>
      </x:c>
      <x:c r="X49" s="20" t="str">
        <x:v>Requires source-level constituent verification for the specific record</x:v>
      </x:c>
      <x:c r="Y49" s="20" t="str">
        <x:v>PMID 37852337; PMID37852337</x:v>
      </x:c>
      <x:c r="Z49" s="20" t="str">
        <x:v>Extract/formula/decoction contextual evidence</x:v>
      </x:c>
      <x:c r="AA49" s="20" t="str">
        <x:v>Row-level annotation; deduplicate by PMID for final reference-level counts</x:v>
      </x:c>
    </x:row>
    <x:row r="50">
      <x:c r="A50" s="20" t="str">
        <x:v>Kaempferol</x:v>
      </x:c>
      <x:c r="B50" s="20" t="str">
        <x:v>Flavonoids</x:v>
      </x:c>
      <x:c r="C50" s="20" t="str">
        <x:v>八珍汤</x:v>
      </x:c>
      <x:c r="D50" s="20" t="str">
        <x:v>结直肠癌（CRC）小鼠模型</x:v>
      </x:c>
      <x:c r="E50" s="20" t="str">
        <x:v>In vivo</x:v>
      </x:c>
      <x:c r="F50" s="20" t="str">
        <x:v>not captured in source extraction</x:v>
      </x:c>
      <x:c r="G50" s="20" t="str">
        <x:v>诱导细胞周期G2/M期阻滞；
调控细胞死亡通路、抑制异常增殖；
增强抗肿瘤免疫反应</x:v>
      </x:c>
      <x:c r="H50" s="20" t="str">
        <x:v>抑制结直肠癌细胞增殖；
促进有利的肿瘤免疫微环境形成；
增强T细胞介导的抗肿瘤免疫应答</x:v>
      </x:c>
      <x:c r="I50" s="20" t="str">
        <x:v>yes</x:v>
      </x:c>
      <x:c r="J50" s="20" t="str">
        <x:v>not reported</x:v>
      </x:c>
      <x:c r="K50" s="20" t="str">
        <x:v>not reported</x:v>
      </x:c>
      <x:c r="L50" s="20" t="str">
        <x:v>Contextual mixture/formulation evidence</x:v>
      </x:c>
      <x:c r="M50" s="20" t="str">
        <x:v>Apoptosis/cell cycle; Immune microenvironment</x:v>
      </x:c>
      <x:c r="N50" s="20" t="str">
        <x:v>37799727</x:v>
      </x:c>
      <x:c r="O50" s="20" t="str">
        <x:v>PMID37799727</x:v>
      </x:c>
      <x:c r="P50" s="20" t="str">
        <x:v>Kaempferol\49-37799727-Mechanism of Bazhen decoction in the Source Front Immunol SO 2023.pdf</x:v>
      </x:c>
      <x:c r="Q50" s="20" t="str">
        <x:v>Mechanism of Bazhen decoction in the treatment of colorectal cancer based on network pharmacology, molecular docking, and experimental validation.</x:v>
      </x:c>
      <x:c r="R50" s="20" t="str">
        <x:v>Included</x:v>
      </x:c>
      <x:c r="S50" s="20" t="str">
        <x:v>2023</x:v>
      </x:c>
      <x:c r="T50" s="20" t="str">
        <x:v>2023/09/20</x:v>
      </x:c>
      <x:c r="U50" s="20" t="str">
        <x:v>Kaempferol</x:v>
      </x:c>
      <x:c r="V50" s="20" t="str">
        <x:v>八珍汤</x:v>
      </x:c>
      <x:c r="W50" s="20" t="str">
        <x:v>Source-dependent—named Chinese medicinal material or TCM preparation recorded</x:v>
      </x:c>
      <x:c r="X50" s="20" t="str">
        <x:v>Requires source-level constituent verification for the specific record</x:v>
      </x:c>
      <x:c r="Y50" s="20" t="str">
        <x:v>PMID 37799727; PMID37799727</x:v>
      </x:c>
      <x:c r="Z50" s="20" t="str">
        <x:v>Extract/formula/decoction contextual evidence</x:v>
      </x:c>
      <x:c r="AA50" s="20" t="str">
        <x:v>Row-level annotation; deduplicate by PMID for final reference-level counts</x:v>
      </x:c>
    </x:row>
    <x:row r="51">
      <x:c r="A51" s="20" t="str">
        <x:v>Kaempferol</x:v>
      </x:c>
      <x:c r="B51" s="20" t="str">
        <x:v>Flavonoids</x:v>
      </x:c>
      <x:c r="C51" s="20" t="str">
        <x:v>植物类黄酮</x:v>
      </x:c>
      <x:c r="D51" s="20" t="str">
        <x:v>体外模型：人结直肠癌细胞系（SW620、LoVo、SW480、HCT8、HCT15、HCT116、Caco-2）及正常肠上皮细胞 HIEC；
体内模型：裸鼠尾静脉注射 SW620 细胞构建肺转移模型</x:v>
      </x:c>
      <x:c r="E51" s="20" t="str">
        <x:v>In vitro + in vivo</x:v>
      </x:c>
      <x:c r="F51" s="20" t="str">
        <x:v>not captured in source extraction</x:v>
      </x:c>
      <x:c r="G51" s="20" t="str">
        <x:v>Kaempferol ↓ circ_0000345 → ↑ miR-205-5p → ↓ JMJD2C → ↓ β-catenin 核转位 → 抑制 EMT 和转移。</x:v>
      </x:c>
      <x:c r="H51" s="20" t="str">
        <x:v>抑制 CRC 细胞迁移和侵袭；
抑制上皮-间质转化相关过程；
降低肺转移灶数量</x:v>
      </x:c>
      <x:c r="I51" s="20" t="str">
        <x:v>not captured</x:v>
      </x:c>
      <x:c r="J51" s="20" t="str">
        <x:v>not reported</x:v>
      </x:c>
      <x:c r="K51" s="20" t="str">
        <x:v>not reported</x:v>
      </x:c>
      <x:c r="L51" s="20" t="str">
        <x:v>Level 1: animal-validated mechanistic evidence</x:v>
      </x:c>
      <x:c r="M51" s="20" t="str">
        <x:v>Wnt/beta-catenin/stemness; EMT/ECM/metastasis</x:v>
      </x:c>
      <x:c r="N51" s="20" t="str">
        <x:v>38493716</x:v>
      </x:c>
      <x:c r="O51" s="20" t="str">
        <x:v>PMID38493716</x:v>
      </x:c>
      <x:c r="P51" s="20" t="str">
        <x:v>Kaempferol\50-38493716-kaempferol inhibits colorectal cance source phytomedicine so 2024.pdf</x:v>
      </x:c>
      <x:c r="Q51" s="20" t="str">
        <x:v>Kaempferol inhibits colorectal cancer metastasis through circ\_0000345 mediated JMJD2C/beta-catenin signalling pathway.</x:v>
      </x:c>
      <x:c r="R51" s="20" t="str">
        <x:v>Included</x:v>
      </x:c>
      <x:c r="S51" s="20" t="str">
        <x:v>2024</x:v>
      </x:c>
      <x:c r="T51" s="20" t="str">
        <x:v>2024/06/01</x:v>
      </x:c>
      <x:c r="U51" s="20" t="str">
        <x:v>Kaempferol</x:v>
      </x:c>
      <x:c r="V51" s="20" t="str">
        <x:v>植物类黄酮</x:v>
      </x:c>
      <x:c r="W51" s="20" t="str">
        <x:v>Not established from this row alone</x:v>
      </x:c>
      <x:c r="X51" s="20" t="str">
        <x:v>Dietary, generic botanical, or non-specific natural-product source</x:v>
      </x:c>
      <x:c r="Y51" s="20" t="str">
        <x:v>PMID 38493716; PMID38493716</x:v>
      </x:c>
      <x:c r="Z51" s="20" t="str">
        <x:v>Purified isolated compound: Kaempferol</x:v>
      </x:c>
      <x:c r="AA51" s="20" t="str">
        <x:v>Row-level annotation; deduplicate by PMID for final reference-level counts</x:v>
      </x:c>
    </x:row>
    <x:row r="52">
      <x:c r="A52" s="20" t="str">
        <x:v>Kaempferol</x:v>
      </x:c>
      <x:c r="B52" s="20" t="str">
        <x:v>Flavonoids</x:v>
      </x:c>
      <x:c r="C52" s="20" t="str">
        <x:v>多种植物中，包括飞燕草、山茶花、小檗、柑橘、马尾草属、槐花和水果或蔬菜，如茶、卷心菜、西兰花、苹果、葡萄、柑橘类水果、草莓、豆类、西红柿和洋葱</x:v>
      </x:c>
      <x:c r="D52" s="20" t="str">
        <x:v>not reported</x:v>
      </x:c>
      <x:c r="E52" s="20" t="str">
        <x:v>Not specified</x:v>
      </x:c>
      <x:c r="F52" s="20" t="str">
        <x:v>not captured in source extraction</x:v>
      </x:c>
      <x:c r="G52" s="20" t="str">
        <x:v>XO（抑制）；SOD、HO-1（活性升高）</x:v>
      </x:c>
      <x:c r="H52" s="20" t="str">
        <x:v>抑制血管生成、刺激细胞灭亡和细胞周期停滞来发挥抗癌作用</x:v>
      </x:c>
      <x:c r="I52" s="20" t="str">
        <x:v>not captured</x:v>
      </x:c>
      <x:c r="J52" s="20" t="str">
        <x:v>not reported</x:v>
      </x:c>
      <x:c r="K52" s="20" t="str">
        <x:v>not reported</x:v>
      </x:c>
      <x:c r="L52" s="20" t="str">
        <x:v>Excluded: insufficient extractable evidence</x:v>
      </x:c>
      <x:c r="M52" s="20" t="str">
        <x:v>Apoptosis/cell cycle</x:v>
      </x:c>
      <x:c r="N52" s="20" t="str">
        <x:v>36259115</x:v>
      </x:c>
      <x:c r="O52" s="20" t="str">
        <x:v>PMID36259115</x:v>
      </x:c>
      <x:c r="P52" s="20" t="str">
        <x:v>Kaempferol\51-36259115-kaempferol a potential agent in the source physiol rep so 2022.pdf</x:v>
      </x:c>
      <x:c r="Q52" s="20" t="str">
        <x:v>Kaempferol: A potential agent in the prevention of colorectal cancer.</x:v>
      </x:c>
      <x:c r="R52" s="20" t="str">
        <x:v>Excluded: insufficient extractable evidence</x:v>
      </x:c>
      <x:c r="S52" s="20" t="str">
        <x:v>2022</x:v>
      </x:c>
      <x:c r="T52" s="20" t="str">
        <x:v>2022/10/01</x:v>
      </x:c>
      <x:c r="U52" s="20" t="str">
        <x:v>Kaempferol</x:v>
      </x:c>
      <x:c r="V52" s="20" t="str">
        <x:v>多种植物中，包括飞燕草、山茶花、小檗、柑橘、马尾草属、槐花和水果或蔬菜，如茶、卷心菜、西兰花、苹果、葡萄、柑橘类水果、草莓、豆类、西红柿和洋葱</x:v>
      </x:c>
      <x:c r="W52" s="20" t="str">
        <x:v>Not established from this row alone</x:v>
      </x:c>
      <x:c r="X52" s="20" t="str">
        <x:v>Dietary, generic botanical, or non-specific natural-product source</x:v>
      </x:c>
      <x:c r="Y52" s="20" t="str">
        <x:v>PMID 36259115; PMID36259115</x:v>
      </x:c>
      <x:c r="Z52" s="20" t="str">
        <x:v>Not assessed for final attribution (excluded record)</x:v>
      </x:c>
      <x:c r="AA52" s="20" t="str">
        <x:v>Row-level annotation; deduplicate by PMID for final reference-level counts</x:v>
      </x:c>
    </x:row>
    <x:row r="53">
      <x:c r="A53" s="20" t="str">
        <x:v>Kaempferol</x:v>
      </x:c>
      <x:c r="B53" s="20" t="str">
        <x:v>Flavonoids</x:v>
      </x:c>
      <x:c r="C53" s="20" t="str">
        <x:v>药用植物</x:v>
      </x:c>
      <x:c r="D53" s="20" t="str">
        <x:v>not reported</x:v>
      </x:c>
      <x:c r="E53" s="20" t="str">
        <x:v>Not specified</x:v>
      </x:c>
      <x:c r="F53" s="20" t="str">
        <x:v>not captured in source extraction</x:v>
      </x:c>
      <x:c r="G53" s="20" t="str">
        <x:v>not reported</x:v>
      </x:c>
      <x:c r="H53" s="20" t="str">
        <x:v>抑制增殖、诱导凋亡</x:v>
      </x:c>
      <x:c r="I53" s="20" t="str">
        <x:v>not captured</x:v>
      </x:c>
      <x:c r="J53" s="20" t="str">
        <x:v>not reported</x:v>
      </x:c>
      <x:c r="K53" s="20" t="str">
        <x:v>not reported</x:v>
      </x:c>
      <x:c r="L53" s="20" t="str">
        <x:v>Contextual review-only</x:v>
      </x:c>
      <x:c r="M53" s="20" t="str">
        <x:v>Apoptosis/cell cycle</x:v>
      </x:c>
      <x:c r="N53" s="20" t="str">
        <x:v>35820317</x:v>
      </x:c>
      <x:c r="O53" s="20" t="str">
        <x:v>PMID35820317</x:v>
      </x:c>
      <x:c r="P53" s="20" t="str">
        <x:v>Kaempferol\52-35820317-Plant derived bioactive compounds in Source Biomed Pharmacother SO 2022 (1).pdf</x:v>
      </x:c>
      <x:c r="Q53" s="20" t="str">
        <x:v>Plant-derived bioactive compounds in colon cancer treatment: An updated review.</x:v>
      </x:c>
      <x:c r="R53" s="20" t="str">
        <x:v>Included</x:v>
      </x:c>
      <x:c r="S53" s="20" t="str">
        <x:v>2022</x:v>
      </x:c>
      <x:c r="T53" s="20" t="str">
        <x:v>2022/09/01</x:v>
      </x:c>
      <x:c r="U53" s="20" t="str">
        <x:v>Kaempferol</x:v>
      </x:c>
      <x:c r="V53" s="20" t="str">
        <x:v>药用植物</x:v>
      </x:c>
      <x:c r="W53" s="20" t="str">
        <x:v>Not established from this row alone</x:v>
      </x:c>
      <x:c r="X53" s="20" t="str">
        <x:v>Dietary, generic botanical, or non-specific natural-product source</x:v>
      </x:c>
      <x:c r="Y53" s="20" t="str">
        <x:v>PMID 35820317; PMID35820317</x:v>
      </x:c>
      <x:c r="Z53" s="20" t="str">
        <x:v>Review/background evidence</x:v>
      </x:c>
      <x:c r="AA53" s="20" t="str">
        <x:v>Row-level annotation; deduplicate by PMID for final reference-level counts</x:v>
      </x:c>
    </x:row>
    <x:row r="54">
      <x:c r="A54" s="20" t="str">
        <x:v>Kaempferol</x:v>
      </x:c>
      <x:c r="B54" s="20" t="str">
        <x:v>Flavonoids</x:v>
      </x:c>
      <x:c r="C54" s="20" t="str">
        <x:v>传统中药的代表性成分</x:v>
      </x:c>
      <x:c r="D54" s="20" t="str">
        <x:v>单变量 Cox、多变量 Cox 和 Lasso-Cox 回归模型，并使用分子对接来绘制将两种成分与预后基因结合的模型</x:v>
      </x:c>
      <x:c r="E54" s="20" t="str">
        <x:v>Network/in silico</x:v>
      </x:c>
      <x:c r="F54" s="20" t="str">
        <x:v>not captured in source extraction</x:v>
      </x:c>
      <x:c r="G54" s="20" t="str">
        <x:v>not reported</x:v>
      </x:c>
      <x:c r="H54" s="20" t="str">
        <x:v>调节免疫检查点、免疫浸润，增强免疫系统功能</x:v>
      </x:c>
      <x:c r="I54" s="20" t="str">
        <x:v>not captured</x:v>
      </x:c>
      <x:c r="J54" s="20" t="str">
        <x:v>not reported</x:v>
      </x:c>
      <x:c r="K54" s="20" t="str">
        <x:v>not reported</x:v>
      </x:c>
      <x:c r="L54" s="20" t="str">
        <x:v>Level 4: in silico-only</x:v>
      </x:c>
      <x:c r="M54" s="20" t="str">
        <x:v>Immune microenvironment</x:v>
      </x:c>
      <x:c r="N54" s="20" t="str">
        <x:v>37497415</x:v>
      </x:c>
      <x:c r="O54" s="20" t="str">
        <x:v>PMID37497415</x:v>
      </x:c>
      <x:c r="P54" s="20" t="str">
        <x:v>Kaempferol\53-37497415-Network pharmacology and bioinformatics were used Source J Cancer 2023 Jul 3 14 11 1956 1980.PDF</x:v>
      </x:c>
      <x:c r="Q54" s="20" t="str">
        <x:v>Network pharmacology and bioinformatics were used to construct a prognostic model and immunoassay of core target genes in the combination of quercetin and kaempferol in the treatment of colorectal cancer.</x:v>
      </x:c>
      <x:c r="R54" s="20" t="str">
        <x:v>Included</x:v>
      </x:c>
      <x:c r="S54" s="20" t="str">
        <x:v>2023</x:v>
      </x:c>
      <x:c r="T54" s="20" t="str">
        <x:v>2023/07/03</x:v>
      </x:c>
      <x:c r="U54" s="20" t="str">
        <x:v>Kaempferol</x:v>
      </x:c>
      <x:c r="V54" s="20" t="str">
        <x:v>传统中药的代表性成分</x:v>
      </x:c>
      <x:c r="W54" s="20" t="str">
        <x:v>Source-dependent—named Chinese medicinal material or TCM preparation recorded</x:v>
      </x:c>
      <x:c r="X54" s="20" t="str">
        <x:v>Requires source-level constituent verification for the specific record</x:v>
      </x:c>
      <x:c r="Y54" s="20" t="str">
        <x:v>PMID 37497415; PMID37497415</x:v>
      </x:c>
      <x:c r="Z54" s="20" t="str">
        <x:v>Network pharmacology/in silico evidence</x:v>
      </x:c>
      <x:c r="AA54" s="20" t="str">
        <x:v>Row-level annotation; deduplicate by PMID for final reference-level counts</x:v>
      </x:c>
    </x:row>
    <x:row r="55">
      <x:c r="A55" s="20" t="str">
        <x:v>Kaempferol</x:v>
      </x:c>
      <x:c r="B55" s="20" t="str">
        <x:v>Flavonoids</x:v>
      </x:c>
      <x:c r="C55" s="20" t="str">
        <x:v>葱属和芸苔属蔬菜和水果中、许多食用植物</x:v>
      </x:c>
      <x:c r="D55" s="20" t="str">
        <x:v>体外、动物实验、流行病学研究</x:v>
      </x:c>
      <x:c r="E55" s="20" t="str">
        <x:v>In vitro + in vivo</x:v>
      </x:c>
      <x:c r="F55" s="20" t="str">
        <x:v>not captured in source extraction</x:v>
      </x:c>
      <x:c r="G55" s="20" t="str">
        <x:v>PI3K-Akt-mTOR 通路</x:v>
      </x:c>
      <x:c r="H55" s="20" t="str">
        <x:v>影响人结肠癌 （HCT-116） 细胞的细胞周期、细胞死亡和增殖</x:v>
      </x:c>
      <x:c r="I55" s="20" t="str">
        <x:v>not captured</x:v>
      </x:c>
      <x:c r="J55" s="20" t="str">
        <x:v>not reported</x:v>
      </x:c>
      <x:c r="K55" s="20" t="str">
        <x:v>not reported</x:v>
      </x:c>
      <x:c r="L55" s="20" t="str">
        <x:v>Level 1: animal-validated mechanistic evidence</x:v>
      </x:c>
      <x:c r="M55" s="20" t="str">
        <x:v>Apoptosis/cell cycle; PI3K/Akt/mTOR/metabolism</x:v>
      </x:c>
      <x:c r="N55" s="20" t="str">
        <x:v>38948535</x:v>
      </x:c>
      <x:c r="O55" s="20" t="str">
        <x:v>PMID38948535</x:v>
      </x:c>
      <x:c r="P55" s="20" t="str">
        <x:v>isorhamnetin\198-38948535-Targeting colorectal cancer using di Source Cancer Innov SO 2023.pdf</x:v>
      </x:c>
      <x:c r="Q55" s="20" t="str">
        <x:v>Targeting colorectal cancer using dietary flavonols.</x:v>
      </x:c>
      <x:c r="R55" s="20" t="str">
        <x:v>Included</x:v>
      </x:c>
      <x:c r="S55" s="20" t="str">
        <x:v>2023</x:v>
      </x:c>
      <x:c r="T55" s="20" t="str">
        <x:v>2023/11/28</x:v>
      </x:c>
      <x:c r="U55" s="20" t="str">
        <x:v>Kaempferol</x:v>
      </x:c>
      <x:c r="V55" s="20" t="str">
        <x:v>葱属和芸苔属蔬菜和水果中、许多食用植物</x:v>
      </x:c>
      <x:c r="W55" s="20" t="str">
        <x:v>Not established from this row alone</x:v>
      </x:c>
      <x:c r="X55" s="20" t="str">
        <x:v>Dietary, generic botanical, or non-specific natural-product source</x:v>
      </x:c>
      <x:c r="Y55" s="20" t="str">
        <x:v>PMID 38948535; PMID38948535</x:v>
      </x:c>
      <x:c r="Z55" s="20" t="str">
        <x:v>Extract/formula/decoction contextual evidence</x:v>
      </x:c>
      <x:c r="AA55" s="20" t="str">
        <x:v>Row-level annotation; deduplicate by PMID for final reference-level counts</x:v>
      </x:c>
    </x:row>
    <x:row r="56">
      <x:c r="A56" s="20" t="str">
        <x:v>Kaempferol</x:v>
      </x:c>
      <x:c r="B56" s="20" t="str">
        <x:v>Flavonoids</x:v>
      </x:c>
      <x:c r="C56" s="20" t="str">
        <x:v>饮食</x:v>
      </x:c>
      <x:c r="D56" s="20" t="str">
        <x:v>计算机辅助药物设计方法筛选</x:v>
      </x:c>
      <x:c r="E56" s="20" t="str">
        <x:v>Not specified</x:v>
      </x:c>
      <x:c r="F56" s="20" t="str">
        <x:v>not captured in source extraction</x:v>
      </x:c>
      <x:c r="G56" s="20" t="str">
        <x:v>HER2 扩增和/或激活 Kras-MEK 下游信号</x:v>
      </x:c>
      <x:c r="H56" s="20" t="str">
        <x:v>抗血管生成</x:v>
      </x:c>
      <x:c r="I56" s="20" t="str">
        <x:v>not captured</x:v>
      </x:c>
      <x:c r="J56" s="20" t="str">
        <x:v>not reported</x:v>
      </x:c>
      <x:c r="K56" s="20" t="str">
        <x:v>not reported</x:v>
      </x:c>
      <x:c r="L56" s="20" t="str">
        <x:v>Excluded: insufficient extractable evidence</x:v>
      </x:c>
      <x:c r="M56" s="20" t="str">
        <x:v>EMT/ECM/metastasis</x:v>
      </x:c>
      <x:c r="N56" s="20" t="str">
        <x:v>35147860</x:v>
      </x:c>
      <x:c r="O56" s="20" t="str">
        <x:v>PMID35147860</x:v>
      </x:c>
      <x:c r="P56" s="20" t="str">
        <x:v>Kaempferol\55-35147860-Reckoning apigenin and kaempferol as Source Mol Divers SO 2022 Feb 10.pdf</x:v>
      </x:c>
      <x:c r="Q56" s="20" t="str">
        <x:v>Reckoning apigenin and kaempferol as a potential multi-targeted inhibitor of EGFR/HER2-MEK pathway of metastatic colorectal cancer identified using rigorous computational workflow.</x:v>
      </x:c>
      <x:c r="R56" s="20" t="str">
        <x:v>Excluded: insufficient extractable evidence</x:v>
      </x:c>
      <x:c r="S56" s="20" t="str">
        <x:v>2022</x:v>
      </x:c>
      <x:c r="T56" s="20" t="str">
        <x:v>2022/12/01</x:v>
      </x:c>
      <x:c r="U56" s="20" t="str">
        <x:v>Kaempferol</x:v>
      </x:c>
      <x:c r="V56" s="20" t="str">
        <x:v>饮食</x:v>
      </x:c>
      <x:c r="W56" s="20" t="str">
        <x:v>Not established from this row alone</x:v>
      </x:c>
      <x:c r="X56" s="20" t="str">
        <x:v>Dietary, generic botanical, or non-specific natural-product source</x:v>
      </x:c>
      <x:c r="Y56" s="20" t="str">
        <x:v>PMID 35147860; PMID35147860</x:v>
      </x:c>
      <x:c r="Z56" s="20" t="str">
        <x:v>Not assessed for final attribution (excluded record)</x:v>
      </x:c>
      <x:c r="AA56" s="20" t="str">
        <x:v>Row-level annotation; deduplicate by PMID for final reference-level counts</x:v>
      </x:c>
    </x:row>
    <x:row r="57">
      <x:c r="A57" s="20" t="str">
        <x:v>Kaempferol</x:v>
      </x:c>
      <x:c r="B57" s="20" t="str">
        <x:v>Flavonoids</x:v>
      </x:c>
      <x:c r="C57" s="20" t="str">
        <x:v>植物药物</x:v>
      </x:c>
      <x:c r="D57" s="20" t="str">
        <x:v>人结肠癌细胞</x:v>
      </x:c>
      <x:c r="E57" s="20" t="str">
        <x:v>In vitro</x:v>
      </x:c>
      <x:c r="F57" s="20" t="str">
        <x:v>not captured in source extraction</x:v>
      </x:c>
      <x:c r="G57" s="20" t="str">
        <x:v>miR-339-5p 介导的 PKM 可变剪接通路</x:v>
      </x:c>
      <x:c r="H57" s="20" t="str">
        <x:v>抑制结肠癌细胞的 有氧糖酵解；
逆转肿瘤细胞的能量代谢重编程，从而抑制恶性表型</x:v>
      </x:c>
      <x:c r="I57" s="20" t="str">
        <x:v>not captured</x:v>
      </x:c>
      <x:c r="J57" s="20" t="str">
        <x:v>not reported</x:v>
      </x:c>
      <x:c r="K57" s="20" t="str">
        <x:v>not reported</x:v>
      </x:c>
      <x:c r="L57" s="20" t="str">
        <x:v>Contextual review-only</x:v>
      </x:c>
      <x:c r="M57" s="20" t="str">
        <x:v>PI3K/Akt/mTOR/metabolism</x:v>
      </x:c>
      <x:c r="N57" s="20" t="str">
        <x:v>40488304</x:v>
      </x:c>
      <x:c r="O57" s="20" t="str">
        <x:v>PMID40488304</x:v>
      </x:c>
      <x:c r="P57" s="20" t="str">
        <x:v>Kaempferol\56-40488304-Herbal Medicine for Colorectal Cance Source Cell Prolif SO 2025 (1).pdf</x:v>
      </x:c>
      <x:c r="Q57" s="20" t="str">
        <x:v>Herbal Medicine for Colorectal Cancer Treatment: Molecular Mechanisms and Clinical Applications.</x:v>
      </x:c>
      <x:c r="R57" s="20" t="str">
        <x:v>Included</x:v>
      </x:c>
      <x:c r="S57" s="20" t="str">
        <x:v>2025</x:v>
      </x:c>
      <x:c r="T57" s="20" t="str">
        <x:v>2025/10/01</x:v>
      </x:c>
      <x:c r="U57" s="20" t="str">
        <x:v>Kaempferol</x:v>
      </x:c>
      <x:c r="V57" s="20" t="str">
        <x:v>植物药物</x:v>
      </x:c>
      <x:c r="W57" s="20" t="str">
        <x:v>Not established from this row alone</x:v>
      </x:c>
      <x:c r="X57" s="20" t="str">
        <x:v>Dietary, generic botanical, or non-specific natural-product source</x:v>
      </x:c>
      <x:c r="Y57" s="20" t="str">
        <x:v>PMID 40488304; PMID40488304</x:v>
      </x:c>
      <x:c r="Z57" s="20" t="str">
        <x:v>Review/background evidence</x:v>
      </x:c>
      <x:c r="AA57" s="20" t="str">
        <x:v>Row-level annotation; deduplicate by PMID for final reference-level counts</x:v>
      </x:c>
    </x:row>
    <x:row r="58">
      <x:c r="A58" s="20" t="str">
        <x:v>Kaempferol</x:v>
      </x:c>
      <x:c r="B58" s="20" t="str">
        <x:v>Flavonoids</x:v>
      </x:c>
      <x:c r="C58" s="20" t="str">
        <x:v>天然黄酮类化合物</x:v>
      </x:c>
      <x:c r="D58" s="20" t="str">
        <x:v>体外细胞模型：
人结直肠癌细胞 HT-29</x:v>
      </x:c>
      <x:c r="E58" s="20" t="str">
        <x:v>In vitro</x:v>
      </x:c>
      <x:c r="F58" s="20" t="str">
        <x:v>100 µM kaempferol with 50 µM 5-FU for 48 h</x:v>
      </x:c>
      <x:c r="G58" s="20" t="str">
        <x:v>PI3K/Akt 信号通路</x:v>
      </x:c>
      <x:c r="H58" s="20" t="str">
        <x:v>诱导细胞凋亡；
增强5-FU的细胞毒性；
抑制胸苷酸合成酶</x:v>
      </x:c>
      <x:c r="I58" s="20" t="str">
        <x:v>not captured</x:v>
      </x:c>
      <x:c r="J58" s="20" t="str">
        <x:v>not reported</x:v>
      </x:c>
      <x:c r="K58" s="20" t="str">
        <x:v>not reported</x:v>
      </x:c>
      <x:c r="L58" s="20" t="str">
        <x:v>Level 3: cell-based mechanistic evidence</x:v>
      </x:c>
      <x:c r="M58" s="20" t="str">
        <x:v>Apoptosis/cell cycle; PI3K/Akt/mTOR/metabolism</x:v>
      </x:c>
      <x:c r="N58" s="20" t="str">
        <x:v>31180555</x:v>
      </x:c>
      <x:c r="O58" s="20" t="str">
        <x:v>PMID31180555</x:v>
      </x:c>
      <x:c r="P58" s="20" t="str">
        <x:v>Kaempferol\57-31180555-Synergistic effect of kaempferol and 5 luoroura Source Mol Med Rep 2019 Jul 20 1 728 734.PDF</x:v>
      </x:c>
      <x:c r="Q58" s="20" t="str">
        <x:v>Synergistic effect of kaempferol and 5fluorouracil on the growth of colorectal cancer cells by regulating the PI3K/Akt signaling pathway.</x:v>
      </x:c>
      <x:c r="R58" s="20" t="str">
        <x:v>Included</x:v>
      </x:c>
      <x:c r="S58" s="20" t="str">
        <x:v>2019</x:v>
      </x:c>
      <x:c r="T58" s="20" t="str">
        <x:v>2019/07/01</x:v>
      </x:c>
      <x:c r="U58" s="20" t="str">
        <x:v>Kaempferol</x:v>
      </x:c>
      <x:c r="V58" s="20" t="str">
        <x:v>天然黄酮类化合物</x:v>
      </x:c>
      <x:c r="W58" s="20" t="str">
        <x:v>Not established from this row alone</x:v>
      </x:c>
      <x:c r="X58" s="20" t="str">
        <x:v>Dietary, generic botanical, or non-specific natural-product source</x:v>
      </x:c>
      <x:c r="Y58" s="20" t="str">
        <x:v>PMID 31180555; PMID31180555</x:v>
      </x:c>
      <x:c r="Z58" s="20" t="str">
        <x:v>Purified isolated compound: Kaempferol</x:v>
      </x:c>
      <x:c r="AA58" s="20" t="str">
        <x:v>Row-level annotation; deduplicate by PMID for final reference-level counts</x:v>
      </x:c>
    </x:row>
    <x:row r="59">
      <x:c r="A59" s="20" t="str">
        <x:v>Kaempferol</x:v>
      </x:c>
      <x:c r="B59" s="20" t="str">
        <x:v>Flavonoids</x:v>
      </x:c>
      <x:c r="C59" s="20" t="str">
        <x:v>芍药汤</x:v>
      </x:c>
      <x:c r="D59" s="20" t="str">
        <x:v>动物模型：AOM/DSS 诱导的结肠炎相关结直肠癌（CAC）小鼠模型</x:v>
      </x:c>
      <x:c r="E59" s="20" t="str">
        <x:v>In vivo</x:v>
      </x:c>
      <x:c r="F59" s="20" t="str">
        <x:v>not captured in source extraction</x:v>
      </x:c>
      <x:c r="G59" s="20" t="str">
        <x:v>连接44个靶点</x:v>
      </x:c>
      <x:c r="H59" s="20" t="str">
        <x:v>抗炎作用；
促凋亡作用；
抑制细胞增殖</x:v>
      </x:c>
      <x:c r="I59" s="20" t="str">
        <x:v>yes</x:v>
      </x:c>
      <x:c r="J59" s="20" t="str">
        <x:v>not reported</x:v>
      </x:c>
      <x:c r="K59" s="20" t="str">
        <x:v>not reported</x:v>
      </x:c>
      <x:c r="L59" s="20" t="str">
        <x:v>Contextual mixture/formulation evidence</x:v>
      </x:c>
      <x:c r="M59" s="20" t="str">
        <x:v>Apoptosis/cell cycle</x:v>
      </x:c>
      <x:c r="N59" s="20" t="str">
        <x:v>39929402</x:v>
      </x:c>
      <x:c r="O59" s="20" t="str">
        <x:v>PMID39929402</x:v>
      </x:c>
      <x:c r="P59" s="20" t="str">
        <x:v>Kaempferol\58-39929402-in silico and animal studies on the source j ethnopharmacol so 2025.pdf</x:v>
      </x:c>
      <x:c r="Q59" s="20" t="str">
        <x:v>In silico and animal studies on the anti-cancer mechanisms of Shaoyao Decoction against colitis-associated colorectal cancer.</x:v>
      </x:c>
      <x:c r="R59" s="20" t="str">
        <x:v>Included</x:v>
      </x:c>
      <x:c r="S59" s="20" t="str">
        <x:v>2025</x:v>
      </x:c>
      <x:c r="T59" s="20" t="str">
        <x:v>2025/04/09</x:v>
      </x:c>
      <x:c r="U59" s="20" t="str">
        <x:v>Kaempferol</x:v>
      </x:c>
      <x:c r="V59" s="20" t="str">
        <x:v>芍药汤</x:v>
      </x:c>
      <x:c r="W59" s="20" t="str">
        <x:v>Source-dependent—named Chinese medicinal material or TCM preparation recorded</x:v>
      </x:c>
      <x:c r="X59" s="20" t="str">
        <x:v>Requires source-level constituent verification for the specific record</x:v>
      </x:c>
      <x:c r="Y59" s="20" t="str">
        <x:v>PMID 39929402; PMID39929402</x:v>
      </x:c>
      <x:c r="Z59" s="20" t="str">
        <x:v>Extract/formula/decoction contextual evidence</x:v>
      </x:c>
      <x:c r="AA59" s="20" t="str">
        <x:v>Row-level annotation; deduplicate by PMID for final reference-level counts</x:v>
      </x:c>
    </x:row>
    <x:row r="60">
      <x:c r="A60" s="20" t="str">
        <x:v>Kaempferol</x:v>
      </x:c>
      <x:c r="B60" s="20" t="str">
        <x:v>Flavonoids</x:v>
      </x:c>
      <x:c r="C60" s="20" t="str">
        <x:v>姜科植物山奈的根茎、茶叶、花椰菜、山楂、蜂花粉、柚子等绿色植物中提取</x:v>
      </x:c>
      <x:c r="D60" s="20" t="str">
        <x:v>HCT8 and 5-FU-resistant HCT8-R colorectal cancer cells (verified in local PDF)</x:v>
      </x:c>
      <x:c r="E60" s="20" t="str">
        <x:v>In vitro</x:v>
      </x:c>
      <x:c r="F60" s="20" t="str">
        <x:v>not captured in source extraction</x:v>
      </x:c>
      <x:c r="G60" s="20" t="str">
        <x:v>促进结肠癌细胞中 microRNA-326（miR-326）的表达</x:v>
      </x:c>
      <x:c r="H60" s="20" t="str">
        <x:v>降低了耐药结直肠癌细胞的葡萄糖摄取和乳酸产生，逆转结直肠癌细胞对 5-Fu 的耐药性，从而抑制糖酵解过程</x:v>
      </x:c>
      <x:c r="I60" s="20" t="str">
        <x:v>not captured</x:v>
      </x:c>
      <x:c r="J60" s="20" t="str">
        <x:v>not reported</x:v>
      </x:c>
      <x:c r="K60" s="20" t="str">
        <x:v>not reported</x:v>
      </x:c>
      <x:c r="L60" s="20" t="str">
        <x:v>Level 3: cell-based mechanistic evidence</x:v>
      </x:c>
      <x:c r="M60" s="20" t="str">
        <x:v>PI3K/Akt/mTOR/metabolism</x:v>
      </x:c>
      <x:c r="N60" s="20" t="str">
        <x:v>35408903</x:v>
      </x:c>
      <x:c r="O60" s="20" t="str">
        <x:v>PMID35408903</x:v>
      </x:c>
      <x:c r="P60" s="20" t="str">
        <x:v>Kaempferol\59-35408903-Kaempferol Can Reverse the 5-Fu Resistance of Colorectal.pdf</x:v>
      </x:c>
      <x:c r="Q60" s="20" t="str">
        <x:v>Kaempferol Can Reverse the 5-Fu Resistance of Colorectal Cancer Cells by Inhibiting PKM2-Mediated Glycolysis.</x:v>
      </x:c>
      <x:c r="R60" s="20" t="str">
        <x:v>Included</x:v>
      </x:c>
      <x:c r="S60" s="20" t="str">
        <x:v>2022</x:v>
      </x:c>
      <x:c r="T60" s="20" t="str">
        <x:v>2022/03/24</x:v>
      </x:c>
      <x:c r="U60" s="20" t="str">
        <x:v>Kaempferol</x:v>
      </x:c>
      <x:c r="V60" s="20" t="str">
        <x:v>姜科植物山奈的根茎、茶叶、花椰菜、山楂、蜂花粉、柚子等绿色植物中提取</x:v>
      </x:c>
      <x:c r="W60" s="20" t="str">
        <x:v>Source-dependent—named Chinese medicinal material or TCM preparation recorded</x:v>
      </x:c>
      <x:c r="X60" s="20" t="str">
        <x:v>Requires source-level constituent verification for the specific record</x:v>
      </x:c>
      <x:c r="Y60" s="20" t="str">
        <x:v>PMID 35408903; PMID35408903</x:v>
      </x:c>
      <x:c r="Z60" s="20" t="str">
        <x:v>Purified isolated compound: Kaempferol</x:v>
      </x:c>
      <x:c r="AA60" s="20" t="str">
        <x:v>Row-level annotation; deduplicate by PMID for final reference-level counts</x:v>
      </x:c>
    </x:row>
    <x:row r="61">
      <x:c r="A61" s="20" t="str">
        <x:v>Kaempferol</x:v>
      </x:c>
      <x:c r="B61" s="20" t="str">
        <x:v>Flavonoids</x:v>
      </x:c>
      <x:c r="C61" s="20" t="str">
        <x:v>薏苡附子败酱散</x:v>
      </x:c>
      <x:c r="D61" s="20" t="str">
        <x:v>人结直肠癌细胞系：SW1116、SW837
实验类型：体外细胞培养</x:v>
      </x:c>
      <x:c r="E61" s="20" t="str">
        <x:v>In vitro</x:v>
      </x:c>
      <x:c r="F61" s="20" t="str">
        <x:v>not captured in source extraction</x:v>
      </x:c>
      <x:c r="G61" s="20" t="str">
        <x:v>推断线粒体凋亡通路</x:v>
      </x:c>
      <x:c r="H61" s="20" t="str">
        <x:v>诱导细胞周期阻滞：S期和G2/M期积累；
诱导凋亡：表现为sub-G1峰增加、DNA断裂；
增强索拉非尼</x:v>
      </x:c>
      <x:c r="I61" s="20" t="str">
        <x:v>not captured</x:v>
      </x:c>
      <x:c r="J61" s="20" t="str">
        <x:v>not reported</x:v>
      </x:c>
      <x:c r="K61" s="20" t="str">
        <x:v>not reported</x:v>
      </x:c>
      <x:c r="L61" s="20" t="str">
        <x:v>Level 3: cell-based mechanistic evidence</x:v>
      </x:c>
      <x:c r="M61" s="20" t="str">
        <x:v>Apoptosis/cell cycle</x:v>
      </x:c>
      <x:c r="N61" s="20" t="str">
        <x:v>37365571</x:v>
      </x:c>
      <x:c r="O61" s="20" t="str">
        <x:v>PMID37365571</x:v>
      </x:c>
      <x:c r="P61" s="20" t="str">
        <x:v>Kaempferol\60-37365571-Therapeutic efficacy of sorafenib an  Complement Med Ther.pdf</x:v>
      </x:c>
      <x:c r="Q61" s="20" t="str">
        <x:v>Therapeutic efficacy of sorafenib and plant-derived phytochemicals in human colorectal cancer cells.</x:v>
      </x:c>
      <x:c r="R61" s="20" t="str">
        <x:v>Included</x:v>
      </x:c>
      <x:c r="S61" s="20" t="str">
        <x:v>2023</x:v>
      </x:c>
      <x:c r="T61" s="20" t="str">
        <x:v>2023/06/26</x:v>
      </x:c>
      <x:c r="U61" s="20" t="str">
        <x:v>Kaempferol</x:v>
      </x:c>
      <x:c r="V61" s="20" t="str">
        <x:v>薏苡附子败酱散</x:v>
      </x:c>
      <x:c r="W61" s="20" t="str">
        <x:v>Source-dependent—named Chinese medicinal material or TCM preparation recorded</x:v>
      </x:c>
      <x:c r="X61" s="20" t="str">
        <x:v>Requires source-level constituent verification for the specific record</x:v>
      </x:c>
      <x:c r="Y61" s="20" t="str">
        <x:v>PMID 37365571; PMID37365571</x:v>
      </x:c>
      <x:c r="Z61" s="20" t="str">
        <x:v>Extract/formula/decoction contextual evidence</x:v>
      </x:c>
      <x:c r="AA61" s="20" t="str">
        <x:v>Row-level annotation; deduplicate by PMID for final reference-level counts</x:v>
      </x:c>
    </x:row>
    <x:row r="62">
      <x:c r="A62" s="20" t="str">
        <x:v>Kaempferol</x:v>
      </x:c>
      <x:c r="B62" s="20" t="str">
        <x:v>Flavonoids</x:v>
      </x:c>
      <x:c r="C62" s="20" t="str">
        <x:v>在于各种蔬菜、水果和草药</x:v>
      </x:c>
      <x:c r="D62" s="20" t="str">
        <x:v>体外模型：
Caco-2 细胞（人结肠腺癌细胞，用于肠道屏障和炎症研究）
HCT116 细胞（人结肠癌细胞，含突变型 p53）</x:v>
      </x:c>
      <x:c r="E62" s="20" t="str">
        <x:v>In vitro</x:v>
      </x:c>
      <x:c r="F62" s="20" t="str">
        <x:v>not captured in source extraction</x:v>
      </x:c>
      <x:c r="G62" s="20" t="str">
        <x:v>ERK 通路</x:v>
      </x:c>
      <x:c r="H62" s="20" t="str">
        <x:v>抑制肠道炎症；
促进结肠癌细胞凋亡；
增强肠道屏障功能</x:v>
      </x:c>
      <x:c r="I62" s="20" t="str">
        <x:v>not captured</x:v>
      </x:c>
      <x:c r="J62" s="20" t="str">
        <x:v>not reported</x:v>
      </x:c>
      <x:c r="K62" s="20" t="str">
        <x:v>not reported</x:v>
      </x:c>
      <x:c r="L62" s="20" t="str">
        <x:v>Contextual review-only</x:v>
      </x:c>
      <x:c r="M62" s="20" t="str">
        <x:v>Apoptosis/cell cycle; NF-kB/STAT3/inflammation; MAPK/JNK/ERK</x:v>
      </x:c>
      <x:c r="N62" s="20" t="str">
        <x:v>37627637</x:v>
      </x:c>
      <x:c r="O62" s="20" t="str">
        <x:v>PMID37627637</x:v>
      </x:c>
      <x:c r="P62" s="20" t="str">
        <x:v>Kaempferol\61-37627637-A Critical Review of Kaempferol in I Source Antioxidants Basel SO 2023.pdf</x:v>
      </x:c>
      <x:c r="Q62" s="20" t="str">
        <x:v>A Critical Review of Kaempferol in Intestinal Health and Diseases.</x:v>
      </x:c>
      <x:c r="R62" s="20" t="str">
        <x:v>Included</x:v>
      </x:c>
      <x:c r="S62" s="20" t="str">
        <x:v>2023</x:v>
      </x:c>
      <x:c r="T62" s="20" t="str">
        <x:v>2023/08/20</x:v>
      </x:c>
      <x:c r="U62" s="20" t="str">
        <x:v>Kaempferol</x:v>
      </x:c>
      <x:c r="V62" s="20" t="str">
        <x:v>在于各种蔬菜、水果和草药</x:v>
      </x:c>
      <x:c r="W62" s="20" t="str">
        <x:v>Not established from this row alone</x:v>
      </x:c>
      <x:c r="X62" s="20" t="str">
        <x:v>Dietary, generic botanical, or non-specific natural-product source</x:v>
      </x:c>
      <x:c r="Y62" s="20" t="str">
        <x:v>PMID 37627637; PMID37627637</x:v>
      </x:c>
      <x:c r="Z62" s="20" t="str">
        <x:v>Review/background evidence</x:v>
      </x:c>
      <x:c r="AA62" s="20" t="str">
        <x:v>Row-level annotation; deduplicate by PMID for final reference-level counts</x:v>
      </x:c>
    </x:row>
    <x:row r="63">
      <x:c r="A63" s="20" t="str">
        <x:v>Kaempferol</x:v>
      </x:c>
      <x:c r="B63" s="20" t="str">
        <x:v>Flavonoids</x:v>
      </x:c>
      <x:c r="C63" s="20" t="str">
        <x:v>参芪三解颗粒</x:v>
      </x:c>
      <x:c r="D63" s="20" t="str">
        <x:v>体外：9 种不同的癌细胞系（包括 5 个 CRC 细胞系、1 个乳腺癌细胞系、2 个肺腺癌细胞系和 1 个宫颈癌细胞系）和小鼠 CRC 细胞系 CT26 
体内：皮下同基因小鼠模型和 AOM（嘧氧甲烷）/DSS（葡聚糖硫酸钠）诱导的原位结肠炎相关小鼠 CRC 模型</x:v>
      </x:c>
      <x:c r="E63" s="20" t="str">
        <x:v>In vitro + in vivo</x:v>
      </x:c>
      <x:c r="F63" s="20" t="str">
        <x:v>not captured in source extraction</x:v>
      </x:c>
      <x:c r="G63" s="20" t="str">
        <x:v>Hmox1 介导的铁死亡</x:v>
      </x:c>
      <x:c r="H63" s="20" t="str">
        <x:v>抑制 CRC 细胞系 CT26 的生长和转移，并诱导细胞死亡</x:v>
      </x:c>
      <x:c r="I63" s="20" t="str">
        <x:v>not captured</x:v>
      </x:c>
      <x:c r="J63" s="20" t="str">
        <x:v>not reported</x:v>
      </x:c>
      <x:c r="K63" s="20" t="str">
        <x:v>not reported</x:v>
      </x:c>
      <x:c r="L63" s="20" t="str">
        <x:v>Contextual mixture/formulation evidence</x:v>
      </x:c>
      <x:c r="M63" s="20" t="str">
        <x:v>ROS/ferroptosis; EMT/ECM/metastasis</x:v>
      </x:c>
      <x:c r="N63" s="20" t="str">
        <x:v>39347400</x:v>
      </x:c>
      <x:c r="O63" s="20" t="str">
        <x:v>PMID39347400</x:v>
      </x:c>
      <x:c r="P63" s="20" t="str">
        <x:v>Kaempferol\39347400-Shenqi Sanjie Granules induce Hmox1 Source Heliyon SO 2024.pdf</x:v>
      </x:c>
      <x:c r="Q63" s="20" t="str">
        <x:v>Shenqi Sanjie Granules induce Hmox1-mediated ferroptosis to inhibit colorectal cancer.</x:v>
      </x:c>
      <x:c r="R63" s="20" t="str">
        <x:v>Included</x:v>
      </x:c>
      <x:c r="S63" s="20" t="str">
        <x:v>2024</x:v>
      </x:c>
      <x:c r="T63" s="20" t="str">
        <x:v>2024/09/17</x:v>
      </x:c>
      <x:c r="U63" s="20" t="str">
        <x:v>Kaempferol</x:v>
      </x:c>
      <x:c r="V63" s="20" t="str">
        <x:v>参芪三解颗粒</x:v>
      </x:c>
      <x:c r="W63" s="20" t="str">
        <x:v>Source-dependent—named Chinese medicinal material or TCM preparation recorded</x:v>
      </x:c>
      <x:c r="X63" s="20" t="str">
        <x:v>Requires source-level constituent verification for the specific record</x:v>
      </x:c>
      <x:c r="Y63" s="20" t="str">
        <x:v>PMID 39347400; PMID39347400</x:v>
      </x:c>
      <x:c r="Z63" s="20" t="str">
        <x:v>Extract/formula/decoction contextual evidence</x:v>
      </x:c>
      <x:c r="AA63" s="20" t="str">
        <x:v>Row-level annotation; deduplicate by PMID for final reference-level counts</x:v>
      </x:c>
    </x:row>
    <x:row r="64">
      <x:c r="A64" s="20" t="str">
        <x:v>Kaempferol</x:v>
      </x:c>
      <x:c r="B64" s="20" t="str">
        <x:v>Flavonoids</x:v>
      </x:c>
      <x:c r="C64" s="20" t="str">
        <x:v>天然膳食</x:v>
      </x:c>
      <x:c r="D64" s="20" t="str">
        <x:v>DLD-1（结直肠癌）、A549（肺癌）、HUH-7（肝癌）、HeLa（宫颈癌）和 NCI-h295R（肾上腺癌），以及健康的上皮细胞系 CCD-18Co</x:v>
      </x:c>
      <x:c r="E64" s="20" t="str">
        <x:v>In vitro</x:v>
      </x:c>
      <x:c r="F64" s="20" t="str">
        <x:v>not captured in source extraction</x:v>
      </x:c>
      <x:c r="G64" s="20" t="str">
        <x:v>山奈酚通过内质网应激介导的细胞死亡和 BcL-2 调节诱导结直肠癌细胞死亡</x:v>
      </x:c>
      <x:c r="H64" s="20" t="str">
        <x:v>抑制增殖、诱导 ER 应激、促凋亡</x:v>
      </x:c>
      <x:c r="I64" s="20" t="str">
        <x:v>not captured</x:v>
      </x:c>
      <x:c r="J64" s="20" t="str">
        <x:v>not reported</x:v>
      </x:c>
      <x:c r="K64" s="20" t="str">
        <x:v>not reported</x:v>
      </x:c>
      <x:c r="L64" s="20" t="str">
        <x:v>Level 3: cell-based mechanistic evidence</x:v>
      </x:c>
      <x:c r="M64" s="20" t="str">
        <x:v>Apoptosis/cell cycle</x:v>
      </x:c>
      <x:c r="N64" s="20" t="str">
        <x:v>41045501</x:v>
      </x:c>
      <x:c r="O64" s="20" t="str">
        <x:v>PMID41045501</x:v>
      </x:c>
      <x:c r="P64" s="20" t="str">
        <x:v>Kaempferol\63-41045501-endoplasmic reticulum stress mediate source chem biodivers so 2025.pdf</x:v>
      </x:c>
      <x:c r="Q64" s="20" t="str">
        <x:v>Endoplasmic Reticulum Stress-Mediated Apoptosis Induced by Kaempferol in Colorectal Cancer Cells.</x:v>
      </x:c>
      <x:c r="R64" s="20" t="str">
        <x:v>Included</x:v>
      </x:c>
      <x:c r="S64" s="20" t="str">
        <x:v>2025</x:v>
      </x:c>
      <x:c r="T64" s="20" t="str">
        <x:v>2025/12/01</x:v>
      </x:c>
      <x:c r="U64" s="20" t="str">
        <x:v>Kaempferol</x:v>
      </x:c>
      <x:c r="V64" s="20" t="str">
        <x:v>天然膳食</x:v>
      </x:c>
      <x:c r="W64" s="20" t="str">
        <x:v>Not established from this row alone</x:v>
      </x:c>
      <x:c r="X64" s="20" t="str">
        <x:v>Dietary, generic botanical, or non-specific natural-product source</x:v>
      </x:c>
      <x:c r="Y64" s="20" t="str">
        <x:v>PMID 41045501; PMID41045501</x:v>
      </x:c>
      <x:c r="Z64" s="20" t="str">
        <x:v>Purified isolated compound: Kaempferol</x:v>
      </x:c>
      <x:c r="AA64" s="20" t="str">
        <x:v>Row-level annotation; deduplicate by PMID for final reference-level counts</x:v>
      </x:c>
    </x:row>
    <x:row r="65">
      <x:c r="A65" s="20" t="str">
        <x:v>Kaempferol</x:v>
      </x:c>
      <x:c r="B65" s="20" t="str">
        <x:v>Flavonoids</x:v>
      </x:c>
      <x:c r="C65" s="20" t="str">
        <x:v>植物</x:v>
      </x:c>
      <x:c r="D65" s="20" t="str">
        <x:v>CRL1554 成纤维细胞，CRC 细胞</x:v>
      </x:c>
      <x:c r="E65" s="20" t="str">
        <x:v>In vitro</x:v>
      </x:c>
      <x:c r="F65" s="20" t="str">
        <x:v>not captured in source extraction</x:v>
      </x:c>
      <x:c r="G65" s="20" t="str">
        <x:v>not reported</x:v>
      </x:c>
      <x:c r="H65" s="20" t="str">
        <x:v>CRC 细胞的联合处理在 S 期和 G2/M 期阻止细胞生长，诱导凋亡细胞死亡，引起广泛的线粒体膜损伤，并改变细胞周期和凋亡蛋白的表达。</x:v>
      </x:c>
      <x:c r="I65" s="20" t="str">
        <x:v>not captured</x:v>
      </x:c>
      <x:c r="J65" s="20" t="str">
        <x:v>not reported</x:v>
      </x:c>
      <x:c r="K65" s="20" t="str">
        <x:v>not reported</x:v>
      </x:c>
      <x:c r="L65" s="20" t="str">
        <x:v>Level 3: cell-based mechanistic evidence</x:v>
      </x:c>
      <x:c r="M65" s="20" t="str">
        <x:v>Apoptosis/cell cycle</x:v>
      </x:c>
      <x:c r="N65" s="20" t="str">
        <x:v>37365571</x:v>
      </x:c>
      <x:c r="O65" s="20" t="str">
        <x:v>PMID37365571</x:v>
      </x:c>
      <x:c r="P65" s="20" t="str">
        <x:v>Kaempferol\60-37365571-Therapeutic efficacy of sorafenib an  Complement Med Ther.pdf</x:v>
      </x:c>
      <x:c r="Q65" s="20" t="str">
        <x:v>Therapeutic efficacy of sorafenib and plant-derived phytochemicals in human colorectal cancer cells.</x:v>
      </x:c>
      <x:c r="R65" s="20" t="str">
        <x:v>Included</x:v>
      </x:c>
      <x:c r="S65" s="20" t="str">
        <x:v>2023</x:v>
      </x:c>
      <x:c r="T65" s="20" t="str">
        <x:v>2023/06/26</x:v>
      </x:c>
      <x:c r="U65" s="20" t="str">
        <x:v>Kaempferol</x:v>
      </x:c>
      <x:c r="V65" s="20" t="str">
        <x:v>植物</x:v>
      </x:c>
      <x:c r="W65" s="20" t="str">
        <x:v>Not established from this row alone</x:v>
      </x:c>
      <x:c r="X65" s="20" t="str">
        <x:v>Dietary, generic botanical, or non-specific natural-product source</x:v>
      </x:c>
      <x:c r="Y65" s="20" t="str">
        <x:v>PMID 37365571; PMID37365571</x:v>
      </x:c>
      <x:c r="Z65" s="20" t="str">
        <x:v>Extract/formula/decoction contextual evidence</x:v>
      </x:c>
      <x:c r="AA65" s="20" t="str">
        <x:v>Row-level annotation; deduplicate by PMID for final reference-level counts</x:v>
      </x:c>
    </x:row>
    <x:row r="66">
      <x:c r="A66" s="20" t="str">
        <x:v>Kaempferol</x:v>
      </x:c>
      <x:c r="B66" s="20" t="str">
        <x:v>Flavonoids</x:v>
      </x:c>
      <x:c r="C66" s="20" t="str">
        <x:v>山奈</x:v>
      </x:c>
      <x:c r="D66" s="20" t="str">
        <x:v>体外细胞模型：CT26 细胞（小鼠结肠癌细胞系）</x:v>
      </x:c>
      <x:c r="E66" s="20" t="str">
        <x:v>In vitro + in vivo</x:v>
      </x:c>
      <x:c r="F66" s="20" t="str">
        <x:v>not captured in source extraction</x:v>
      </x:c>
      <x:c r="G66" s="20" t="str">
        <x:v>STING 通路激活
内质网应激 → 胞质 Ca²⁺ 超载</x:v>
      </x:c>
      <x:c r="H66" s="20" t="str">
        <x:v>激活 STING 通路，诱导干扰素及相关细胞因子表达；
引起 胞内游离 Ca²⁺ 显著升高；
增强免疫相关信号传导</x:v>
      </x:c>
      <x:c r="I66" s="20" t="str">
        <x:v>not captured</x:v>
      </x:c>
      <x:c r="J66" s="20" t="str">
        <x:v>not reported</x:v>
      </x:c>
      <x:c r="K66" s="20" t="str">
        <x:v>not reported</x:v>
      </x:c>
      <x:c r="L66" s="20" t="str">
        <x:v>Level 1: animal-validated mechanistic evidence</x:v>
      </x:c>
      <x:c r="M66" s="20" t="str">
        <x:v>Apoptosis/cell cycle; NF-kB/STAT3/inflammation; Immune microenvironment</x:v>
      </x:c>
      <x:c r="N66" s="20" t="str">
        <x:v>39016938</x:v>
      </x:c>
      <x:c r="O66" s="20" t="str">
        <x:v>PMID39016938</x:v>
      </x:c>
      <x:c r="P66" s="20" t="str">
        <x:v>Kaempferol\65-39016938-Chondroitin Sulfate Modified Hydroxy Source Small SO 2024.pdf</x:v>
      </x:c>
      <x:c r="Q66" s="20" t="str">
        <x:v>Chondroitin Sulfate-Modified Hydroxyapatite for Caspase-1 Activated Induced Pyroptosis through Ca Overload/ER Stress/STING/IRF3 Pathway in Colorectal Cancer.</x:v>
      </x:c>
      <x:c r="R66" s="20" t="str">
        <x:v>Included</x:v>
      </x:c>
      <x:c r="S66" s="20" t="str">
        <x:v>2024</x:v>
      </x:c>
      <x:c r="T66" s="20" t="str">
        <x:v>2024/10/01</x:v>
      </x:c>
      <x:c r="U66" s="20" t="str">
        <x:v>Kaempferol</x:v>
      </x:c>
      <x:c r="V66" s="20" t="str">
        <x:v>山奈</x:v>
      </x:c>
      <x:c r="W66" s="20" t="str">
        <x:v>Source-dependent—named Chinese medicinal material or TCM preparation recorded</x:v>
      </x:c>
      <x:c r="X66" s="20" t="str">
        <x:v>Requires source-level constituent verification for the specific record</x:v>
      </x:c>
      <x:c r="Y66" s="20" t="str">
        <x:v>PMID 39016938; PMID39016938</x:v>
      </x:c>
      <x:c r="Z66" s="20" t="str">
        <x:v>Formulation/nanodelivery contextual evidence</x:v>
      </x:c>
      <x:c r="AA66" s="20" t="str">
        <x:v>Row-level annotation; deduplicate by PMID for final reference-level counts</x:v>
      </x:c>
    </x:row>
    <x:row r="67">
      <x:c r="A67" s="20" t="str">
        <x:v>Kaempferol</x:v>
      </x:c>
      <x:c r="B67" s="20" t="str">
        <x:v>Flavonoids</x:v>
      </x:c>
      <x:c r="C67" s="20" t="str">
        <x:v>治疗 mCRC 的高频中药复方</x:v>
      </x:c>
      <x:c r="D67" s="20" t="str">
        <x:v>基于临床 RCT 荟萃分析 + 网络药理学预测</x:v>
      </x:c>
      <x:c r="E67" s="20" t="str">
        <x:v>Network/in silico</x:v>
      </x:c>
      <x:c r="F67" s="20" t="str">
        <x:v>not captured in source extraction</x:v>
      </x:c>
      <x:c r="G67" s="20" t="str">
        <x:v>CDKN1A、CDK1、CDK2、E2F1、CDK4、PCNA、RB1、CCNA2、MAPK3、CCND1、CCNB1、JUN、MAPK1、RELA、FOS、MAPK8、STAT3、MAPK14、NR3C1 和 MYC</x:v>
      </x:c>
      <x:c r="H67" s="20" t="str">
        <x:v>可能通过靶向上述枢纽基因的多个生物学过程来抑制 mCRC</x:v>
      </x:c>
      <x:c r="I67" s="20" t="str">
        <x:v>not captured</x:v>
      </x:c>
      <x:c r="J67" s="20" t="str">
        <x:v>not reported</x:v>
      </x:c>
      <x:c r="K67" s="20" t="str">
        <x:v>not reported</x:v>
      </x:c>
      <x:c r="L67" s="20" t="str">
        <x:v>Level 4: in silico-only</x:v>
      </x:c>
      <x:c r="M67" s="20" t="str">
        <x:v>NF-kB/STAT3/inflammation; MAPK/JNK/ERK; EMT/ECM/metastasis</x:v>
      </x:c>
      <x:c r="N67" s="20" t="str">
        <x:v>34781857</x:v>
      </x:c>
      <x:c r="O67" s="20" t="str">
        <x:v>PMID34781857</x:v>
      </x:c>
      <x:c r="P67" s="20" t="str">
        <x:v>isorhamnetin\203-34781857-Network Pharmacology Analysis to Explore the Pharmaco.pdf</x:v>
      </x:c>
      <x:c r="Q67" s="20" t="str">
        <x:v>Network Pharmacology Analysis to Explore the Pharmacological Mechanism of Effective Chinese Medicines in Treating Metastatic Colorectal Cancer using Meta-Analysis Approach.</x:v>
      </x:c>
      <x:c r="R67" s="20" t="str">
        <x:v>Included</x:v>
      </x:c>
      <x:c r="S67" s="20" t="str">
        <x:v>2021</x:v>
      </x:c>
      <x:c r="T67" s="20" t="str">
        <x:v>2021/01/01</x:v>
      </x:c>
      <x:c r="U67" s="20" t="str">
        <x:v>Kaempferol</x:v>
      </x:c>
      <x:c r="V67" s="20" t="str">
        <x:v>治疗 mCRC 的高频中药复方</x:v>
      </x:c>
      <x:c r="W67" s="20" t="str">
        <x:v>Source-dependent—named Chinese medicinal material or TCM preparation recorded</x:v>
      </x:c>
      <x:c r="X67" s="20" t="str">
        <x:v>Requires source-level constituent verification for the specific record</x:v>
      </x:c>
      <x:c r="Y67" s="20" t="str">
        <x:v>PMID 34781857; PMID34781857</x:v>
      </x:c>
      <x:c r="Z67" s="20" t="str">
        <x:v>Network pharmacology/in silico evidence</x:v>
      </x:c>
      <x:c r="AA67" s="20" t="str">
        <x:v>Row-level annotation; deduplicate by PMID for final reference-level counts</x:v>
      </x:c>
    </x:row>
    <x:row r="68">
      <x:c r="A68" s="20" t="str">
        <x:v>Kaempferol</x:v>
      </x:c>
      <x:c r="B68" s="20" t="str">
        <x:v>Flavonoids</x:v>
      </x:c>
      <x:c r="C68" s="20" t="str">
        <x:v>薏苡附子败酱散</x:v>
      </x:c>
      <x:c r="D68" s="20" t="str">
        <x:v>not reported</x:v>
      </x:c>
      <x:c r="E68" s="20" t="str">
        <x:v>Not specified</x:v>
      </x:c>
      <x:c r="F68" s="20" t="str">
        <x:v>not captured in source extraction</x:v>
      </x:c>
      <x:c r="G68" s="20" t="str">
        <x:v>PI3K-Akt 信号通路、TNF 信号通路和 IL-17 信号通路</x:v>
      </x:c>
      <x:c r="H68" s="20" t="str">
        <x:v>控制细胞凋亡、增殖以及蛋白质和酶的结合来减缓结直肠癌的进展。</x:v>
      </x:c>
      <x:c r="I68" s="20" t="str">
        <x:v>not captured</x:v>
      </x:c>
      <x:c r="J68" s="20" t="str">
        <x:v>not reported</x:v>
      </x:c>
      <x:c r="K68" s="20" t="str">
        <x:v>not reported</x:v>
      </x:c>
      <x:c r="L68" s="20" t="str">
        <x:v>Contextual mixture/formulation evidence</x:v>
      </x:c>
      <x:c r="M68" s="20" t="str">
        <x:v>Apoptosis/cell cycle; PI3K/Akt/mTOR/metabolism; MAPK/JNK/ERK</x:v>
      </x:c>
      <x:c r="N68" s="20" t="str">
        <x:v>36735641</x:v>
      </x:c>
      <x:c r="O68" s="20" t="str">
        <x:v>PMID36735641</x:v>
      </x:c>
      <x:c r="P68" s="20" t="str">
        <x:v>beta-sitosterol\211-36735641-exploring the mechanism of action of source biotechnol genet eng rev so 2023.pdf</x:v>
      </x:c>
      <x:c r="Q68" s="20" t="str">
        <x:v>Exploring the mechanism of action of Yiyi Fuzi Baijiang powder in colorectal cancer based on network pharmacology and molecular docking studies.</x:v>
      </x:c>
      <x:c r="R68" s="20" t="str">
        <x:v>Included</x:v>
      </x:c>
      <x:c r="S68" s="20" t="str">
        <x:v>2023</x:v>
      </x:c>
      <x:c r="T68" s="20" t="str">
        <x:v>2023/10/01</x:v>
      </x:c>
      <x:c r="U68" s="20" t="str">
        <x:v>Kaempferol</x:v>
      </x:c>
      <x:c r="V68" s="20" t="str">
        <x:v>薏苡附子败酱散</x:v>
      </x:c>
      <x:c r="W68" s="20" t="str">
        <x:v>Source-dependent—named Chinese medicinal material or TCM preparation recorded</x:v>
      </x:c>
      <x:c r="X68" s="20" t="str">
        <x:v>Requires source-level constituent verification for the specific record</x:v>
      </x:c>
      <x:c r="Y68" s="20" t="str">
        <x:v>PMID 36735641; PMID36735641</x:v>
      </x:c>
      <x:c r="Z68" s="20" t="str">
        <x:v>Extract/formula/decoction contextual evidence</x:v>
      </x:c>
      <x:c r="AA68" s="20" t="str">
        <x:v>Row-level annotation; deduplicate by PMID for final reference-level counts</x:v>
      </x:c>
    </x:row>
    <x:row r="69">
      <x:c r="A69" s="20" t="str">
        <x:v>Kaempferol</x:v>
      </x:c>
      <x:c r="B69" s="20" t="str">
        <x:v>Flavonoids</x:v>
      </x:c>
      <x:c r="C69" s="20" t="str">
        <x:v>PubChem</x:v>
      </x:c>
      <x:c r="D69" s="20" t="str">
        <x:v>概念药效团建模、分子对接和分子动力学分析</x:v>
      </x:c>
      <x:c r="E69" s="20" t="str">
        <x:v>Network/in silico</x:v>
      </x:c>
      <x:c r="F69" s="20" t="str">
        <x:v>not captured in source extraction</x:v>
      </x:c>
      <x:c r="G69" s="20" t="str">
        <x:v>CDK2</x:v>
      </x:c>
      <x:c r="H69" s="20" t="str">
        <x:v>抑制CDK2活性</x:v>
      </x:c>
      <x:c r="I69" s="20" t="str">
        <x:v>not captured</x:v>
      </x:c>
      <x:c r="J69" s="20" t="str">
        <x:v>not reported</x:v>
      </x:c>
      <x:c r="K69" s="20" t="str">
        <x:v>not reported</x:v>
      </x:c>
      <x:c r="L69" s="20" t="str">
        <x:v>Level 4: in silico-only</x:v>
      </x:c>
      <x:c r="M69" s="20" t="str">
        <x:v>not assigned</x:v>
      </x:c>
      <x:c r="N69" s="20" t="str">
        <x:v>39233923</x:v>
      </x:c>
      <x:c r="O69" s="20" t="str">
        <x:v>PMID39233923</x:v>
      </x:c>
      <x:c r="P69" s="20" t="str">
        <x:v>Kaempferol\68-39233923-Molecular insights into kaempferol d Source Front Chem SO 2024.pdf</x:v>
      </x:c>
      <x:c r="Q69" s="20" t="str">
        <x:v>Molecular insights into kaempferol derivatives as potential inhibitors for CDK2 in colon cancer: pharmacophore modeling, docking, and dynamic analysis.</x:v>
      </x:c>
      <x:c r="R69" s="20" t="str">
        <x:v>Included</x:v>
      </x:c>
      <x:c r="S69" s="20" t="str">
        <x:v>2024</x:v>
      </x:c>
      <x:c r="T69" s="20" t="str">
        <x:v>2024/08/21</x:v>
      </x:c>
      <x:c r="U69" s="20" t="str">
        <x:v>Kaempferol</x:v>
      </x:c>
      <x:c r="V69" s="20" t="str">
        <x:v>PubChem</x:v>
      </x:c>
      <x:c r="W69" s="20" t="str">
        <x:v>Not established from this row alone</x:v>
      </x:c>
      <x:c r="X69" s="20" t="str">
        <x:v>Dietary, generic botanical, or non-specific natural-product source</x:v>
      </x:c>
      <x:c r="Y69" s="20" t="str">
        <x:v>PMID 39233923; PMID39233923</x:v>
      </x:c>
      <x:c r="Z69" s="20" t="str">
        <x:v>Network pharmacology/in silico evidence</x:v>
      </x:c>
      <x:c r="AA69" s="20" t="str">
        <x:v>Row-level annotation; deduplicate by PMID for final reference-level counts</x:v>
      </x:c>
    </x:row>
    <x:row r="70">
      <x:c r="A70" s="20" t="str">
        <x:v>Kaempferol</x:v>
      </x:c>
      <x:c r="B70" s="20" t="str">
        <x:v>Flavonoids</x:v>
      </x:c>
      <x:c r="C70" s="20" t="str">
        <x:v>蔬菜、水果和中药材</x:v>
      </x:c>
      <x:c r="D70" s="20" t="str">
        <x:v>结肠癌细胞</x:v>
      </x:c>
      <x:c r="E70" s="20" t="str">
        <x:v>In vitro</x:v>
      </x:c>
      <x:c r="F70" s="20" t="str">
        <x:v>not captured in source extraction</x:v>
      </x:c>
      <x:c r="G70" s="20" t="str">
        <x:v>miR-339-5p / PKM 可变剪接通路；
ERK1/2 通路；
AKT 通路；
磷酸戊糖途径（PPP）</x:v>
      </x:c>
      <x:c r="H70" s="20" t="str">
        <x:v>诱导 DNA 损伤；
抑制细胞增殖；
诱导 细胞周期阻滞 和 凋亡；
抑制 有氧糖酵解；
抑制 非氧化磷酸戊糖途径（PPP），减少 R5P 和 NADPH 生成</x:v>
      </x:c>
      <x:c r="I70" s="20" t="str">
        <x:v>not captured</x:v>
      </x:c>
      <x:c r="J70" s="20" t="str">
        <x:v>not reported</x:v>
      </x:c>
      <x:c r="K70" s="20" t="str">
        <x:v>not reported</x:v>
      </x:c>
      <x:c r="L70" s="20" t="str">
        <x:v>Level 3: cell-based mechanistic evidence</x:v>
      </x:c>
      <x:c r="M70" s="20" t="str">
        <x:v>Apoptosis/cell cycle; PI3K/Akt/mTOR/metabolism; MAPK/JNK/ERK; ROS/ferroptosis</x:v>
      </x:c>
      <x:c r="N70" s="20" t="str">
        <x:v>40091822</x:v>
      </x:c>
      <x:c r="O70" s="20" t="str">
        <x:v>PMID40091822</x:v>
      </x:c>
      <x:c r="P70" s="20" t="str">
        <x:v>Kaempferol\69-40091822-Kaempferol Induces DNA Damage in Col Source J Agric Food Chem SO 2025.pdf</x:v>
      </x:c>
      <x:c r="Q70" s="20" t="str">
        <x:v>Kaempferol Induces DNA Damage in Colorectal Cancer Cells by Regulating the MiR-195/miR-497-PFKFB4-Mediated Nonoxidative Pentose Phosphate Pathway.</x:v>
      </x:c>
      <x:c r="R70" s="20" t="str">
        <x:v>Included</x:v>
      </x:c>
      <x:c r="S70" s="20" t="str">
        <x:v>2025</x:v>
      </x:c>
      <x:c r="T70" s="20" t="str">
        <x:v>2025/04/09</x:v>
      </x:c>
      <x:c r="U70" s="20" t="str">
        <x:v>Kaempferol</x:v>
      </x:c>
      <x:c r="V70" s="20" t="str">
        <x:v>蔬菜、水果和中药材</x:v>
      </x:c>
      <x:c r="W70" s="20" t="str">
        <x:v>Source-dependent—named Chinese medicinal material or TCM preparation recorded</x:v>
      </x:c>
      <x:c r="X70" s="20" t="str">
        <x:v>Requires source-level constituent verification for the specific record</x:v>
      </x:c>
      <x:c r="Y70" s="20" t="str">
        <x:v>PMID 40091822; PMID40091822</x:v>
      </x:c>
      <x:c r="Z70" s="20" t="str">
        <x:v>Purified isolated compound: Kaempferol</x:v>
      </x:c>
      <x:c r="AA70" s="20" t="str">
        <x:v>Row-level annotation; deduplicate by PMID for final reference-level counts</x:v>
      </x:c>
    </x:row>
    <x:row r="71">
      <x:c r="A71" s="20" t="str">
        <x:v>Kaempferol</x:v>
      </x:c>
      <x:c r="B71" s="20" t="str">
        <x:v>Flavonoids</x:v>
      </x:c>
      <x:c r="C71" s="20" t="str">
        <x:v>Carlina acaulis植物</x:v>
      </x:c>
      <x:c r="D71" s="20" t="str">
        <x:v>正常上皮结肠细胞系（CCD 841CoTr）、人结直肠腺癌（HT29）和人宫颈癌（HeLa）细胞</x:v>
      </x:c>
      <x:c r="E71" s="20" t="str">
        <x:v>In vitro</x:v>
      </x:c>
      <x:c r="F71" s="20" t="str">
        <x:v>not captured in source extraction</x:v>
      </x:c>
      <x:c r="G71" s="20" t="str">
        <x:v>not reported</x:v>
      </x:c>
      <x:c r="H71" s="20" t="str">
        <x:v>not reported</x:v>
      </x:c>
      <x:c r="I71" s="20" t="str">
        <x:v>not captured</x:v>
      </x:c>
      <x:c r="J71" s="20" t="str">
        <x:v>not reported</x:v>
      </x:c>
      <x:c r="K71" s="20" t="str">
        <x:v>not reported</x:v>
      </x:c>
      <x:c r="L71" s="20" t="str">
        <x:v>Excluded: insufficient extractable evidence</x:v>
      </x:c>
      <x:c r="M71" s="20" t="str">
        <x:v>not assigned</x:v>
      </x:c>
      <x:c r="N71" s="20" t="str">
        <x:v>37630400</x:v>
      </x:c>
      <x:c r="O71" s="20" t="str">
        <x:v>not available</x:v>
      </x:c>
      <x:c r="P71" s="20" t="str">
        <x:v>Kaempferol\70-37630400-Polyphenolic Composition of Carlina Source Molecules SO 2023.pdf</x:v>
      </x:c>
      <x:c r="Q71" s="20" t="str">
        <x:v>not retained - incomplete bibliographic metadata</x:v>
      </x:c>
      <x:c r="R71" s="20" t="str">
        <x:v>Excluded: incomplete bibliographic title requiring verification</x:v>
      </x:c>
      <x:c r="S71" s="20" t="str">
        <x:v>2023</x:v>
      </x:c>
      <x:c r="T71" s="20" t="str">
        <x:v>2023/08/20</x:v>
      </x:c>
      <x:c r="U71" s="20" t="str">
        <x:v>Kaempferol</x:v>
      </x:c>
      <x:c r="V71" s="20" t="str">
        <x:v>Carlina acaulis植物</x:v>
      </x:c>
      <x:c r="W71" s="20" t="str">
        <x:v>Not established from this row alone</x:v>
      </x:c>
      <x:c r="X71" s="20" t="str">
        <x:v>Dietary, generic botanical, or non-specific natural-product source</x:v>
      </x:c>
      <x:c r="Y71" s="20" t="str">
        <x:v>PMID 37630400; not available</x:v>
      </x:c>
      <x:c r="Z71" s="20" t="str">
        <x:v>Not assessed for final attribution (excluded record)</x:v>
      </x:c>
      <x:c r="AA71" s="20" t="str">
        <x:v>Row-level annotation; deduplicate by PMID for final reference-level counts</x:v>
      </x:c>
    </x:row>
    <x:row r="72">
      <x:c r="A72" s="20" t="str">
        <x:v>Kaempferol</x:v>
      </x:c>
      <x:c r="B72" s="20" t="str">
        <x:v>Flavonoids</x:v>
      </x:c>
      <x:c r="C72" s="20" t="str">
        <x:v>清热解毒药 JC724</x:v>
      </x:c>
      <x:c r="D72" s="20" t="str">
        <x:v>网络药理学 + 转录组分析（in silico）</x:v>
      </x:c>
      <x:c r="E72" s="20" t="str">
        <x:v>Network/in silico</x:v>
      </x:c>
      <x:c r="F72" s="20" t="str">
        <x:v>not captured in source extraction</x:v>
      </x:c>
      <x:c r="G72" s="20" t="str">
        <x:v>Nrf2 信号通路、氧化应激和 IL-17 信号通路</x:v>
      </x:c>
      <x:c r="H72" s="20" t="str">
        <x:v>调控基因表达，影响氧化应激与炎症，抑制肿瘤</x:v>
      </x:c>
      <x:c r="I72" s="20" t="str">
        <x:v>not captured</x:v>
      </x:c>
      <x:c r="J72" s="20" t="str">
        <x:v>not reported</x:v>
      </x:c>
      <x:c r="K72" s="20" t="str">
        <x:v>not reported</x:v>
      </x:c>
      <x:c r="L72" s="20" t="str">
        <x:v>Level 4: in silico-only</x:v>
      </x:c>
      <x:c r="M72" s="20" t="str">
        <x:v>NF-kB/STAT3/inflammation; ROS/ferroptosis</x:v>
      </x:c>
      <x:c r="N72" s="20" t="str">
        <x:v>36684054</x:v>
      </x:c>
      <x:c r="O72" s="20" t="str">
        <x:v>PMID36684054</x:v>
      </x:c>
      <x:c r="P72" s="20" t="str">
        <x:v>beta-sitosterol\212-36684054-a.pdf</x:v>
      </x:c>
      <x:c r="Q72" s="20" t="str">
        <x:v>Network pharmacology-based analysis of heat clearing and detoxifying drug JC724 on the treatment of colorectal cancer.</x:v>
      </x:c>
      <x:c r="R72" s="20" t="str">
        <x:v>Included</x:v>
      </x:c>
      <x:c r="S72" s="20" t="str">
        <x:v>2023</x:v>
      </x:c>
      <x:c r="T72" s="20" t="str">
        <x:v>2023/01/15</x:v>
      </x:c>
      <x:c r="U72" s="20" t="str">
        <x:v>Kaempferol</x:v>
      </x:c>
      <x:c r="V72" s="20" t="str">
        <x:v>清热解毒药 JC724</x:v>
      </x:c>
      <x:c r="W72" s="20" t="str">
        <x:v>Not established from this row alone</x:v>
      </x:c>
      <x:c r="X72" s="20" t="str">
        <x:v>Dietary, generic botanical, or non-specific natural-product source</x:v>
      </x:c>
      <x:c r="Y72" s="20" t="str">
        <x:v>PMID 36684054; PMID36684054</x:v>
      </x:c>
      <x:c r="Z72" s="20" t="str">
        <x:v>Network pharmacology/in silico evidence</x:v>
      </x:c>
      <x:c r="AA72" s="20" t="str">
        <x:v>Row-level annotation; deduplicate by PMID for final reference-level counts</x:v>
      </x:c>
    </x:row>
    <x:row r="73">
      <x:c r="A73" s="20" t="str">
        <x:v>Kaempferol</x:v>
      </x:c>
      <x:c r="B73" s="20" t="str">
        <x:v>Flavonoids</x:v>
      </x:c>
      <x:c r="C73" s="20" t="str">
        <x:v>小柴胡汤</x:v>
      </x:c>
      <x:c r="D73" s="20" t="str">
        <x:v>网络药理学 + 分子对接</x:v>
      </x:c>
      <x:c r="E73" s="20" t="str">
        <x:v>Network/in silico</x:v>
      </x:c>
      <x:c r="F73" s="20" t="str">
        <x:v>not captured in source extraction</x:v>
      </x:c>
      <x:c r="G73" s="20" t="str">
        <x:v>IL-17、TNF、Toll 样受体和 NF-kappa B 信号通路</x:v>
      </x:c>
      <x:c r="H73" s="20" t="str">
        <x:v>not reported</x:v>
      </x:c>
      <x:c r="I73" s="20" t="str">
        <x:v>not captured</x:v>
      </x:c>
      <x:c r="J73" s="20" t="str">
        <x:v>not reported</x:v>
      </x:c>
      <x:c r="K73" s="20" t="str">
        <x:v>not reported</x:v>
      </x:c>
      <x:c r="L73" s="20" t="str">
        <x:v>Level 4: in silico-only</x:v>
      </x:c>
      <x:c r="M73" s="20" t="str">
        <x:v>NF-kB/STAT3/inflammation; EMT/ECM/metastasis</x:v>
      </x:c>
      <x:c r="N73" s="20" t="str">
        <x:v>34125845</x:v>
      </x:c>
      <x:c r="O73" s="20" t="str">
        <x:v>PMID34125845</x:v>
      </x:c>
      <x:c r="P73" s="20" t="str">
        <x:v>Kaempferol\72-34125845-Network pharmacology and molecular docking study o Source PLoS One 2021 Jun 14 16 6 e0252508.PDF</x:v>
      </x:c>
      <x:c r="Q73" s="20" t="str">
        <x:v>Network pharmacology and molecular docking study on the mechanism of colorectal cancer treatment using Xiao-Chai-Hu-Tang.</x:v>
      </x:c>
      <x:c r="R73" s="20" t="str">
        <x:v>Included</x:v>
      </x:c>
      <x:c r="S73" s="20" t="str">
        <x:v>2021</x:v>
      </x:c>
      <x:c r="T73" s="20" t="str">
        <x:v>2021/06/14</x:v>
      </x:c>
      <x:c r="U73" s="20" t="str">
        <x:v>Kaempferol</x:v>
      </x:c>
      <x:c r="V73" s="20" t="str">
        <x:v>小柴胡汤</x:v>
      </x:c>
      <x:c r="W73" s="20" t="str">
        <x:v>Source-dependent—named Chinese medicinal material or TCM preparation recorded</x:v>
      </x:c>
      <x:c r="X73" s="20" t="str">
        <x:v>Requires source-level constituent verification for the specific record</x:v>
      </x:c>
      <x:c r="Y73" s="20" t="str">
        <x:v>PMID 34125845; PMID34125845</x:v>
      </x:c>
      <x:c r="Z73" s="20" t="str">
        <x:v>Network pharmacology/in silico evidence</x:v>
      </x:c>
      <x:c r="AA73" s="20" t="str">
        <x:v>Row-level annotation; deduplicate by PMID for final reference-level counts</x:v>
      </x:c>
    </x:row>
    <x:row r="74">
      <x:c r="A74" s="20" t="str">
        <x:v>Kaempferol</x:v>
      </x:c>
      <x:c r="B74" s="20" t="str">
        <x:v>Flavonoids</x:v>
      </x:c>
      <x:c r="C74" s="20" t="str">
        <x:v>黄芪-莪术</x:v>
      </x:c>
      <x:c r="D74" s="20" t="str">
        <x:v>not reported</x:v>
      </x:c>
      <x:c r="E74" s="20" t="str">
        <x:v>Not specified</x:v>
      </x:c>
      <x:c r="F74" s="20" t="str">
        <x:v>not captured in source extraction</x:v>
      </x:c>
      <x:c r="G74" s="20" t="str">
        <x:v>not reported</x:v>
      </x:c>
      <x:c r="H74" s="20" t="str">
        <x:v>not reported</x:v>
      </x:c>
      <x:c r="I74" s="20" t="str">
        <x:v>not captured</x:v>
      </x:c>
      <x:c r="J74" s="20" t="str">
        <x:v>not reported</x:v>
      </x:c>
      <x:c r="K74" s="20" t="str">
        <x:v>not reported</x:v>
      </x:c>
      <x:c r="L74" s="20" t="str">
        <x:v>Level 4: in silico/contextual evidence</x:v>
      </x:c>
      <x:c r="M74" s="20" t="str">
        <x:v>not assigned</x:v>
      </x:c>
      <x:c r="N74" s="20" t="str">
        <x:v>40151125</x:v>
      </x:c>
      <x:c r="O74" s="20" t="str">
        <x:v>PMID40151125</x:v>
      </x:c>
      <x:c r="P74" s="20" t="str">
        <x:v>not matched</x:v>
      </x:c>
      <x:c r="Q74" s="20" t="str">
        <x:v>Integrating network pharmacology and experimental validation to uncover the synergistic effects of Huangqi ()-Ezhu () with 5-fluorouracil in colorectal cancer models.</x:v>
      </x:c>
      <x:c r="R74" s="20" t="str">
        <x:v>Excluded: no local PDF matched</x:v>
      </x:c>
      <x:c r="S74" s="20" t="str">
        <x:v>2025</x:v>
      </x:c>
      <x:c r="T74" s="20" t="str">
        <x:v>2025/04/01</x:v>
      </x:c>
      <x:c r="U74" s="20" t="str">
        <x:v>Kaempferol</x:v>
      </x:c>
      <x:c r="V74" s="20" t="str">
        <x:v>黄芪-莪术</x:v>
      </x:c>
      <x:c r="W74" s="20" t="str">
        <x:v>Source-dependent—named Chinese medicinal material or TCM preparation recorded</x:v>
      </x:c>
      <x:c r="X74" s="20" t="str">
        <x:v>Requires source-level constituent verification for the specific record</x:v>
      </x:c>
      <x:c r="Y74" s="20" t="str">
        <x:v>PMID 40151125; PMID40151125</x:v>
      </x:c>
      <x:c r="Z74" s="20" t="str">
        <x:v>Not assessed for final attribution (excluded record)</x:v>
      </x:c>
      <x:c r="AA74" s="20" t="str">
        <x:v>Row-level annotation; deduplicate by PMID for final reference-level counts</x:v>
      </x:c>
    </x:row>
    <x:row r="75">
      <x:c r="A75" s="20" t="str">
        <x:v>Kaempferol</x:v>
      </x:c>
      <x:c r="B75" s="20" t="str">
        <x:v>Flavonoids</x:v>
      </x:c>
      <x:c r="C75" s="20" t="str">
        <x:v>Dodonaea viscosa Jacq.</x:v>
      </x:c>
      <x:c r="D75" s="20" t="str">
        <x:v>结直肠癌细胞（SW480 和 SW620）</x:v>
      </x:c>
      <x:c r="E75" s="20" t="str">
        <x:v>In vitro</x:v>
      </x:c>
      <x:c r="F75" s="20" t="str">
        <x:v>not captured in source extraction</x:v>
      </x:c>
      <x:c r="G75" s="20" t="str">
        <x:v>p53/caspase-3 介导的内源性凋亡通路</x:v>
      </x:c>
      <x:c r="H75" s="20" t="str">
        <x:v>细胞毒性、抗增殖和细胞死亡诱导</x:v>
      </x:c>
      <x:c r="I75" s="20" t="str">
        <x:v>not captured</x:v>
      </x:c>
      <x:c r="J75" s="20" t="str">
        <x:v>not reported</x:v>
      </x:c>
      <x:c r="K75" s="20" t="str">
        <x:v>not reported</x:v>
      </x:c>
      <x:c r="L75" s="20" t="str">
        <x:v>Contextual mixture/formulation evidence</x:v>
      </x:c>
      <x:c r="M75" s="20" t="str">
        <x:v>Apoptosis/cell cycle</x:v>
      </x:c>
      <x:c r="N75" s="20" t="str">
        <x:v>38041881</x:v>
      </x:c>
      <x:c r="O75" s="20" t="str">
        <x:v>PMID38041881</x:v>
      </x:c>
      <x:c r="P75" s="20" t="str">
        <x:v>Kaempferol\74-38041881-optimization of pluchea indica l source ultrason sonochem so 2023.pdf</x:v>
      </x:c>
      <x:c r="Q75" s="20" t="str">
        <x:v>Optimization of Pluchea indica (L.) leaf extract using ultrasound-assisted extraction and its cytotoxicity on the HT-29 colorectal cancer cell line.</x:v>
      </x:c>
      <x:c r="R75" s="20" t="str">
        <x:v>Included</x:v>
      </x:c>
      <x:c r="S75" s="20" t="str">
        <x:v>2023</x:v>
      </x:c>
      <x:c r="T75" s="20" t="str">
        <x:v>2023/12/01</x:v>
      </x:c>
      <x:c r="U75" s="20" t="str">
        <x:v>Kaempferol</x:v>
      </x:c>
      <x:c r="V75" s="20" t="str">
        <x:v>Dodonaea viscosa Jacq.</x:v>
      </x:c>
      <x:c r="W75" s="20" t="str">
        <x:v>Not established from this row alone</x:v>
      </x:c>
      <x:c r="X75" s="20" t="str">
        <x:v>Dietary, generic botanical, or non-specific natural-product source</x:v>
      </x:c>
      <x:c r="Y75" s="20" t="str">
        <x:v>PMID 38041881; PMID38041881</x:v>
      </x:c>
      <x:c r="Z75" s="20" t="str">
        <x:v>Extract/formula/decoction contextual evidence</x:v>
      </x:c>
      <x:c r="AA75" s="20" t="str">
        <x:v>Row-level annotation; deduplicate by PMID for final reference-level counts</x:v>
      </x:c>
    </x:row>
    <x:row r="76">
      <x:c r="A76" s="20" t="str">
        <x:v>Kaempferol</x:v>
      </x:c>
      <x:c r="B76" s="20" t="str">
        <x:v>Flavonoids</x:v>
      </x:c>
      <x:c r="C76" s="20" t="str">
        <x:v>天然黄酮类化合物</x:v>
      </x:c>
      <x:c r="D76" s="20" t="str">
        <x:v>分子水平模型：重组 OGT 蛋白、体外结合实验（SIP、CETSA）、分子对接与分子动力学模拟</x:v>
      </x:c>
      <x:c r="E76" s="20" t="str">
        <x:v>In vitro</x:v>
      </x:c>
      <x:c r="F76" s="20" t="str">
        <x:v>not captured in source extraction</x:v>
      </x:c>
      <x:c r="G76" s="20" t="str">
        <x:v>通过 直接结合 OGT（O-GlcNAc 转移酶），抑制其活性，从而 降低整体蛋白 O-GlcNAcylation 水平，干扰 O-GlcNAc 修饰依赖的癌症信号通路</x:v>
      </x:c>
      <x:c r="H76" s="20" t="str">
        <x:v>Kaempferol 与 OGT 特异性结合；
降低 OGT 稳定性或活性（CETSA 显示结合后热变性温度变化）；
干扰 O-GlcNAc 修饰对 HSP47 等客户蛋白的调控</x:v>
      </x:c>
      <x:c r="I76" s="20" t="str">
        <x:v>not captured</x:v>
      </x:c>
      <x:c r="J76" s="20" t="str">
        <x:v>not reported</x:v>
      </x:c>
      <x:c r="K76" s="20" t="str">
        <x:v>not reported</x:v>
      </x:c>
      <x:c r="L76" s="20" t="str">
        <x:v>Level 3: cell-based mechanistic evidence</x:v>
      </x:c>
      <x:c r="M76" s="20" t="str">
        <x:v>EMT/ECM/metastasis</x:v>
      </x:c>
      <x:c r="N76" s="20" t="str">
        <x:v>40959291</x:v>
      </x:c>
      <x:c r="O76" s="20" t="str">
        <x:v>PMID40959291</x:v>
      </x:c>
      <x:c r="P76" s="20" t="str">
        <x:v>Kaempferol\75-40959291-o glcnacylated hsp47 as a predictive source int j biol sci so 2025.pdf</x:v>
      </x:c>
      <x:c r="Q76" s="20" t="str">
        <x:v>O-GlcNAcylated Hsp47 as a predictive biomarker in colorectal cancer: Kaempferol targets OGT-collagen axis for therapeutic intervention.</x:v>
      </x:c>
      <x:c r="R76" s="20" t="str">
        <x:v>Included</x:v>
      </x:c>
      <x:c r="S76" s="20" t="str">
        <x:v>2025</x:v>
      </x:c>
      <x:c r="T76" s="20" t="str">
        <x:v>2025/08/30</x:v>
      </x:c>
      <x:c r="U76" s="20" t="str">
        <x:v>Kaempferol</x:v>
      </x:c>
      <x:c r="V76" s="20" t="str">
        <x:v>天然黄酮类化合物</x:v>
      </x:c>
      <x:c r="W76" s="20" t="str">
        <x:v>Not established from this row alone</x:v>
      </x:c>
      <x:c r="X76" s="20" t="str">
        <x:v>Dietary, generic botanical, or non-specific natural-product source</x:v>
      </x:c>
      <x:c r="Y76" s="20" t="str">
        <x:v>PMID 40959291; PMID40959291</x:v>
      </x:c>
      <x:c r="Z76" s="20" t="str">
        <x:v>Purified isolated compound: Kaempferol</x:v>
      </x:c>
      <x:c r="AA76" s="20" t="str">
        <x:v>Row-level annotation; deduplicate by PMID for final reference-level counts</x:v>
      </x:c>
    </x:row>
    <x:row r="77">
      <x:c r="A77" s="20" t="str">
        <x:v>Kaempferol</x:v>
      </x:c>
      <x:c r="B77" s="20" t="str">
        <x:v>Flavonoids</x:v>
      </x:c>
      <x:c r="C77" s="20" t="str">
        <x:v>山奈</x:v>
      </x:c>
      <x:c r="D77" s="20" t="str">
        <x:v>体外：CT26（小鼠）和 HCT116（人）结直肠癌细胞
体内：小鼠结直肠癌肿瘤组织</x:v>
      </x:c>
      <x:c r="E77" s="20" t="str">
        <x:v>In vitro + in vivo</x:v>
      </x:c>
      <x:c r="F77" s="20" t="str">
        <x:v>not captured in source extraction</x:v>
      </x:c>
      <x:c r="G77" s="20" t="str">
        <x:v>MMP3 介导的肿瘤侵袭与转移通路</x:v>
      </x:c>
      <x:c r="H77" s="20" t="str">
        <x:v>抑制 MMP3 蛋白活性；
下调 MMP3 基因表达；
潜在抑制肿瘤细胞迁移与侵袭</x:v>
      </x:c>
      <x:c r="I77" s="20" t="str">
        <x:v>not captured</x:v>
      </x:c>
      <x:c r="J77" s="20" t="str">
        <x:v>not reported</x:v>
      </x:c>
      <x:c r="K77" s="20" t="str">
        <x:v>not reported</x:v>
      </x:c>
      <x:c r="L77" s="20" t="str">
        <x:v>Contextual mixture/formulation evidence</x:v>
      </x:c>
      <x:c r="M77" s="20" t="str">
        <x:v>EMT/ECM/metastasis</x:v>
      </x:c>
      <x:c r="N77" s="20" t="str">
        <x:v>39002822</x:v>
      </x:c>
      <x:c r="O77" s="20" t="str">
        <x:v>PMID39002822</x:v>
      </x:c>
      <x:c r="P77" s="20" t="str">
        <x:v>Kaempferol\76-39002822-Integrating UHPLC Q TOF MS MS Netwo Source J Ethnopharmacol SO 2024 (1).pdf</x:v>
      </x:c>
      <x:c r="Q77" s="20" t="str">
        <x:v>Integrating UHPLC-Q-TOF-MS/MS, network pharmacology, bioinformatics and experimental validation to uncover the anti-cancer mechanisms of TiaoPi AnChang decoction in colorectal cancer.</x:v>
      </x:c>
      <x:c r="R77" s="20" t="str">
        <x:v>Included</x:v>
      </x:c>
      <x:c r="S77" s="20" t="str">
        <x:v>2024</x:v>
      </x:c>
      <x:c r="T77" s="20" t="str">
        <x:v>2024/11/15</x:v>
      </x:c>
      <x:c r="U77" s="20" t="str">
        <x:v>Kaempferol</x:v>
      </x:c>
      <x:c r="V77" s="20" t="str">
        <x:v>山奈</x:v>
      </x:c>
      <x:c r="W77" s="20" t="str">
        <x:v>Source-dependent—named Chinese medicinal material or TCM preparation recorded</x:v>
      </x:c>
      <x:c r="X77" s="20" t="str">
        <x:v>Requires source-level constituent verification for the specific record</x:v>
      </x:c>
      <x:c r="Y77" s="20" t="str">
        <x:v>PMID 39002822; PMID39002822</x:v>
      </x:c>
      <x:c r="Z77" s="20" t="str">
        <x:v>Extract/formula/decoction contextual evidence</x:v>
      </x:c>
      <x:c r="AA77" s="20" t="str">
        <x:v>Row-level annotation; deduplicate by PMID for final reference-level counts</x:v>
      </x:c>
    </x:row>
    <x:row r="78">
      <x:c r="A78" s="20" t="str">
        <x:v>Kaempferol</x:v>
      </x:c>
      <x:c r="B78" s="20" t="str">
        <x:v>Flavonoids</x:v>
      </x:c>
      <x:c r="C78" s="20" t="str">
        <x:v>小柴胡汤</x:v>
      </x:c>
      <x:c r="D78" s="20" t="str">
        <x:v>纯计算性研究</x:v>
      </x:c>
      <x:c r="E78" s="20" t="str">
        <x:v>Network/in silico</x:v>
      </x:c>
      <x:c r="F78" s="20" t="str">
        <x:v>not captured in source extraction</x:v>
      </x:c>
      <x:c r="G78" s="20" t="str">
        <x:v>预测PI3K-Akt 信号通路；MAPK 信号通路；TNF、IL-17、HIF-1 等炎症与肿瘤相关通路</x:v>
      </x:c>
      <x:c r="H78" s="20" t="str">
        <x:v>预测抗炎作用；
抑制肿瘤细胞增殖；调控细胞凋亡</x:v>
      </x:c>
      <x:c r="I78" s="20" t="str">
        <x:v>not captured</x:v>
      </x:c>
      <x:c r="J78" s="20" t="str">
        <x:v>not reported</x:v>
      </x:c>
      <x:c r="K78" s="20" t="str">
        <x:v>not reported</x:v>
      </x:c>
      <x:c r="L78" s="20" t="str">
        <x:v>Level 4: in silico-only</x:v>
      </x:c>
      <x:c r="M78" s="20" t="str">
        <x:v>Apoptosis/cell cycle; PI3K/Akt/mTOR/metabolism; NF-kB/STAT3/inflammation; MAPK/JNK/ERK; EMT/ECM/metastasis</x:v>
      </x:c>
      <x:c r="N78" s="20" t="str">
        <x:v>34125845</x:v>
      </x:c>
      <x:c r="O78" s="20" t="str">
        <x:v>PMID34125845</x:v>
      </x:c>
      <x:c r="P78" s="20" t="str">
        <x:v>Kaempferol\72-34125845-Network pharmacology and molecular docking study o Source PLoS One 2021 Jun 14 16 6 e0252508.PDF</x:v>
      </x:c>
      <x:c r="Q78" s="20" t="str">
        <x:v>Network pharmacology and molecular docking study on the mechanism of colorectal cancer treatment using Xiao-Chai-Hu-Tang.</x:v>
      </x:c>
      <x:c r="R78" s="20" t="str">
        <x:v>Included</x:v>
      </x:c>
      <x:c r="S78" s="20" t="str">
        <x:v>2021</x:v>
      </x:c>
      <x:c r="T78" s="20" t="str">
        <x:v>2021/06/14</x:v>
      </x:c>
      <x:c r="U78" s="20" t="str">
        <x:v>Kaempferol</x:v>
      </x:c>
      <x:c r="V78" s="20" t="str">
        <x:v>小柴胡汤</x:v>
      </x:c>
      <x:c r="W78" s="20" t="str">
        <x:v>Source-dependent—named Chinese medicinal material or TCM preparation recorded</x:v>
      </x:c>
      <x:c r="X78" s="20" t="str">
        <x:v>Requires source-level constituent verification for the specific record</x:v>
      </x:c>
      <x:c r="Y78" s="20" t="str">
        <x:v>PMID 34125845; PMID34125845</x:v>
      </x:c>
      <x:c r="Z78" s="20" t="str">
        <x:v>Network pharmacology/in silico evidence</x:v>
      </x:c>
      <x:c r="AA78" s="20" t="str">
        <x:v>Row-level annotation; deduplicate by PMID for final reference-level counts</x:v>
      </x:c>
    </x:row>
    <x:row r="79">
      <x:c r="A79" s="20" t="str">
        <x:v>Kaempferol</x:v>
      </x:c>
      <x:c r="B79" s="20" t="str">
        <x:v>Flavonoids</x:v>
      </x:c>
      <x:c r="C79" s="20" t="str">
        <x:v>黄连和乌梅</x:v>
      </x:c>
      <x:c r="D79" s="20" t="str">
        <x:v>基于数据库的网络药理学与分子对接分析</x:v>
      </x:c>
      <x:c r="E79" s="20" t="str">
        <x:v>Network/in silico</x:v>
      </x:c>
      <x:c r="F79" s="20" t="str">
        <x:v>not captured in source extraction</x:v>
      </x:c>
      <x:c r="G79" s="20" t="str">
        <x:v>炎症（IL1B, IL-6）、细胞周期（CCND1, MYC）、血管生成（VEGFA）、基质降解（MMPs） 等通路</x:v>
      </x:c>
      <x:c r="H79" s="20" t="str">
        <x:v>抑制炎症反应
抑制肿瘤细胞增殖;
抑制血管生成;
抑制肿瘤侵袭与转移;
调节肿瘤免疫微环境</x:v>
      </x:c>
      <x:c r="I79" s="20" t="str">
        <x:v>not captured</x:v>
      </x:c>
      <x:c r="J79" s="20" t="str">
        <x:v>not reported</x:v>
      </x:c>
      <x:c r="K79" s="20" t="str">
        <x:v>not reported</x:v>
      </x:c>
      <x:c r="L79" s="20" t="str">
        <x:v>Level 4: in silico-only</x:v>
      </x:c>
      <x:c r="M79" s="20" t="str">
        <x:v>Apoptosis/cell cycle; NF-kB/STAT3/inflammation; EMT/ECM/metastasis; Immune microenvironment</x:v>
      </x:c>
      <x:c r="N79" s="20" t="str">
        <x:v>35783510</x:v>
      </x:c>
      <x:c r="O79" s="20" t="str">
        <x:v>not available</x:v>
      </x:c>
      <x:c r="P79" s="20" t="str">
        <x:v>Kaempferol\78-35783510-characterizing the antitumor effect source evid based complement alternat med so 2022 2022 9061752.pdf</x:v>
      </x:c>
      <x:c r="Q79" s="20" t="str">
        <x:v>not retained - incomplete bibliographic metadata</x:v>
      </x:c>
      <x:c r="R79" s="20" t="str">
        <x:v>Excluded: no CRC-specific model or outcome extracted</x:v>
      </x:c>
      <x:c r="S79" s="20" t="str">
        <x:v>2022</x:v>
      </x:c>
      <x:c r="T79" s="20" t="str">
        <x:v>2022/06/23</x:v>
      </x:c>
      <x:c r="U79" s="20" t="str">
        <x:v>Kaempferol</x:v>
      </x:c>
      <x:c r="V79" s="20" t="str">
        <x:v>黄连和乌梅</x:v>
      </x:c>
      <x:c r="W79" s="20" t="str">
        <x:v>Not established from this row alone</x:v>
      </x:c>
      <x:c r="X79" s="20" t="str">
        <x:v>Dietary, generic botanical, or non-specific natural-product source</x:v>
      </x:c>
      <x:c r="Y79" s="20" t="str">
        <x:v>PMID 35783510; not available</x:v>
      </x:c>
      <x:c r="Z79" s="20" t="str">
        <x:v>Not assessed for final attribution (excluded record)</x:v>
      </x:c>
      <x:c r="AA79" s="20" t="str">
        <x:v>Row-level annotation; deduplicate by PMID for final reference-level counts</x:v>
      </x:c>
    </x:row>
    <x:row r="80">
      <x:c r="A80" s="20" t="str">
        <x:v>Kaempferol</x:v>
      </x:c>
      <x:c r="B80" s="20" t="str">
        <x:v>Flavonoids</x:v>
      </x:c>
      <x:c r="C80" s="20" t="str">
        <x:v>天然酚类化合物</x:v>
      </x:c>
      <x:c r="D80" s="20" t="str">
        <x:v>not reported</x:v>
      </x:c>
      <x:c r="E80" s="20" t="str">
        <x:v>Not specified</x:v>
      </x:c>
      <x:c r="F80" s="20" t="str">
        <x:v>not captured in source extraction</x:v>
      </x:c>
      <x:c r="G80" s="20" t="str">
        <x:v>可能Toll-like receptors (TLR1, TLR2, TLR3, TLR4, TLR7, TLR8, TLR9)；
TNF 家族（TNF, TNFAIP3, TNFRSF10A/B）；
 凋亡相关基因（CASP1, CASP8, BCL2, BCL2L1, BIRC2/4）未特指由 Kaempferol 介导。</x:v>
      </x:c>
      <x:c r="H80" s="20" t="str">
        <x:v>抗氧化、抗增殖</x:v>
      </x:c>
      <x:c r="I80" s="20" t="str">
        <x:v>not captured</x:v>
      </x:c>
      <x:c r="J80" s="20" t="str">
        <x:v>not reported</x:v>
      </x:c>
      <x:c r="K80" s="20" t="str">
        <x:v>not reported</x:v>
      </x:c>
      <x:c r="L80" s="20" t="str">
        <x:v>Excluded: insufficient extractable evidence</x:v>
      </x:c>
      <x:c r="M80" s="20" t="str">
        <x:v>Apoptosis/cell cycle; ROS/ferroptosis</x:v>
      </x:c>
      <x:c r="N80" s="20" t="str">
        <x:v>34291706</x:v>
      </x:c>
      <x:c r="O80" s="20" t="str">
        <x:v>not available</x:v>
      </x:c>
      <x:c r="P80" s="20" t="str">
        <x:v>Kaempferol\79-34291706-the phytochemical profile and biolog source nutr cancer actions search in pubmed search in nlm catalog add to search 2021 jul 22 1 15 doi 10 1080 01635581 2021 1952455 online ahead of print.pdf</x:v>
      </x:c>
      <x:c r="Q80" s="20" t="str">
        <x:v>not retained - incomplete bibliographic metadata</x:v>
      </x:c>
      <x:c r="R80" s="20" t="str">
        <x:v>Excluded: no CRC-specific model or outcome extracted</x:v>
      </x:c>
      <x:c r="S80" s="20" t="str">
        <x:v>2022</x:v>
      </x:c>
      <x:c r="T80" s="20" t="str">
        <x:v>2022/01/01</x:v>
      </x:c>
      <x:c r="U80" s="20" t="str">
        <x:v>Kaempferol</x:v>
      </x:c>
      <x:c r="V80" s="20" t="str">
        <x:v>天然酚类化合物</x:v>
      </x:c>
      <x:c r="W80" s="20" t="str">
        <x:v>Not established from this row alone</x:v>
      </x:c>
      <x:c r="X80" s="20" t="str">
        <x:v>Dietary, generic botanical, or non-specific natural-product source</x:v>
      </x:c>
      <x:c r="Y80" s="20" t="str">
        <x:v>PMID 34291706; not available</x:v>
      </x:c>
      <x:c r="Z80" s="20" t="str">
        <x:v>Not assessed for final attribution (excluded record)</x:v>
      </x:c>
      <x:c r="AA80" s="20" t="str">
        <x:v>Row-level annotation; deduplicate by PMID for final reference-level counts</x:v>
      </x:c>
    </x:row>
    <x:row r="81">
      <x:c r="A81" s="20" t="str">
        <x:v>Kaempferol</x:v>
      </x:c>
      <x:c r="B81" s="20" t="str">
        <x:v>Flavonoids</x:v>
      </x:c>
      <x:c r="C81" s="20" t="str">
        <x:v>乌梅</x:v>
      </x:c>
      <x:c r="D81" s="20" t="str">
        <x:v>体外模型：结直肠癌（CRC）细胞；
体内模型：CRC 荷瘤小鼠模型</x:v>
      </x:c>
      <x:c r="E81" s="20" t="str">
        <x:v>In vitro + in vivo</x:v>
      </x:c>
      <x:c r="F81" s="20" t="str">
        <x:v>not captured in source extraction</x:v>
      </x:c>
      <x:c r="G81" s="20" t="str">
        <x:v>RelA / NF-κB 信号通路。</x:v>
      </x:c>
      <x:c r="H81" s="20" t="str">
        <x:v>显著抑制 CRC 细胞的生长、迁移和侵袭</x:v>
      </x:c>
      <x:c r="I81" s="20" t="str">
        <x:v>not captured</x:v>
      </x:c>
      <x:c r="J81" s="20" t="str">
        <x:v>not reported</x:v>
      </x:c>
      <x:c r="K81" s="20" t="str">
        <x:v>not reported</x:v>
      </x:c>
      <x:c r="L81" s="20" t="str">
        <x:v>Level 1: animal-validated mechanistic evidence</x:v>
      </x:c>
      <x:c r="M81" s="20" t="str">
        <x:v>Apoptosis/cell cycle; NF-kB/STAT3/inflammation; EMT/ECM/metastasis</x:v>
      </x:c>
      <x:c r="N81" s="20" t="str">
        <x:v>34867383</x:v>
      </x:c>
      <x:c r="O81" s="20" t="str">
        <x:v>not available</x:v>
      </x:c>
      <x:c r="P81" s="20" t="str">
        <x:v>Kaempferol\80-34867383-network pharmacology and molecular d source front pharmacol so 2021 12 761980.pdf</x:v>
      </x:c>
      <x:c r="Q81" s="20" t="str">
        <x:v>not retained - incomplete bibliographic metadata</x:v>
      </x:c>
      <x:c r="R81" s="20" t="str">
        <x:v>Excluded: incomplete bibliographic title requiring verification</x:v>
      </x:c>
      <x:c r="S81" s="20" t="str">
        <x:v>2021</x:v>
      </x:c>
      <x:c r="T81" s="20" t="str">
        <x:v>2021/11/19</x:v>
      </x:c>
      <x:c r="U81" s="20" t="str">
        <x:v>Kaempferol</x:v>
      </x:c>
      <x:c r="V81" s="20" t="str">
        <x:v>乌梅</x:v>
      </x:c>
      <x:c r="W81" s="20" t="str">
        <x:v>Not established from this row alone</x:v>
      </x:c>
      <x:c r="X81" s="20" t="str">
        <x:v>Dietary, generic botanical, or non-specific natural-product source</x:v>
      </x:c>
      <x:c r="Y81" s="20" t="str">
        <x:v>PMID 34867383; not available</x:v>
      </x:c>
      <x:c r="Z81" s="20" t="str">
        <x:v>Not assessed for final attribution (excluded record)</x:v>
      </x:c>
      <x:c r="AA81" s="20" t="str">
        <x:v>Row-level annotation; deduplicate by PMID for final reference-level counts</x:v>
      </x:c>
    </x:row>
    <x:row r="82">
      <x:c r="A82" s="20" t="str">
        <x:v>Kaempferol</x:v>
      </x:c>
      <x:c r="B82" s="20" t="str">
        <x:v>Flavonoids</x:v>
      </x:c>
      <x:c r="C82" s="20" t="str">
        <x:v>益肺健脾通腑方Yifei Jianpi Tongfu Formula (YJTF)</x:v>
      </x:c>
      <x:c r="D82" s="20" t="str">
        <x:v>体内模型：结直肠癌肺转移小鼠模型</x:v>
      </x:c>
      <x:c r="E82" s="20" t="str">
        <x:v>In vivo</x:v>
      </x:c>
      <x:c r="F82" s="20" t="str">
        <x:v>not captured in source extraction</x:v>
      </x:c>
      <x:c r="G82" s="20" t="str">
        <x:v>黏着斑、黏附连接、上皮-间质转化（EMT）通路</x:v>
      </x:c>
      <x:c r="H82" s="20" t="str">
        <x:v>抑制结直肠癌肺转移；
改善荷瘤小鼠生活质量；
抑制 EMT 过程</x:v>
      </x:c>
      <x:c r="I82" s="20" t="str">
        <x:v>yes</x:v>
      </x:c>
      <x:c r="J82" s="20" t="str">
        <x:v>not reported</x:v>
      </x:c>
      <x:c r="K82" s="20" t="str">
        <x:v>not reported</x:v>
      </x:c>
      <x:c r="L82" s="20" t="str">
        <x:v>Contextual mixture/formulation evidence</x:v>
      </x:c>
      <x:c r="M82" s="20" t="str">
        <x:v>PI3K/Akt/mTOR/metabolism; EMT/ECM/metastasis</x:v>
      </x:c>
      <x:c r="N82" s="20" t="str">
        <x:v>35942366</x:v>
      </x:c>
      <x:c r="O82" s="20" t="str">
        <x:v>PMID35942366</x:v>
      </x:c>
      <x:c r="P82" s="20" t="str">
        <x:v>isorhamnetin\202-35942366-study on the action mechanism of the source evid based complement alternat med so 2022.pdf</x:v>
      </x:c>
      <x:c r="Q82" s="20" t="str">
        <x:v>Study on the Action Mechanism of the Yifei Jianpi Tongfu Formula in Treatment of Colorectal Cancer Lung Metastasis Based on Network Analysis, Molecular Docking, and Experimental Validation.</x:v>
      </x:c>
      <x:c r="R82" s="20" t="str">
        <x:v>Included</x:v>
      </x:c>
      <x:c r="S82" s="20" t="str">
        <x:v>2022</x:v>
      </x:c>
      <x:c r="T82" s="20" t="str">
        <x:v>2022/07/30</x:v>
      </x:c>
      <x:c r="U82" s="20" t="str">
        <x:v>Kaempferol</x:v>
      </x:c>
      <x:c r="V82" s="20" t="str">
        <x:v>益肺健脾通腑方Yifei Jianpi Tongfu Formula (YJTF)</x:v>
      </x:c>
      <x:c r="W82" s="20" t="str">
        <x:v>Source-dependent—named Chinese medicinal material or TCM preparation recorded</x:v>
      </x:c>
      <x:c r="X82" s="20" t="str">
        <x:v>Requires source-level constituent verification for the specific record</x:v>
      </x:c>
      <x:c r="Y82" s="20" t="str">
        <x:v>PMID 35942366; PMID35942366</x:v>
      </x:c>
      <x:c r="Z82" s="20" t="str">
        <x:v>Extract/formula/decoction contextual evidence</x:v>
      </x:c>
      <x:c r="AA82" s="20" t="str">
        <x:v>Row-level annotation; deduplicate by PMID for final reference-level counts</x:v>
      </x:c>
    </x:row>
    <x:row r="83">
      <x:c r="A83" s="20" t="str">
        <x:v>Kaempferol</x:v>
      </x:c>
      <x:c r="B83" s="20" t="str">
        <x:v>Flavonoids</x:v>
      </x:c>
      <x:c r="C83" s="20" t="str">
        <x:v>强效抗癌生物活性化合物</x:v>
      </x:c>
      <x:c r="D83" s="20" t="str">
        <x:v>计算生物学研究，采用反向药理学网络方法，结合分子对接</x:v>
      </x:c>
      <x:c r="E83" s="20" t="str">
        <x:v>Network/in silico</x:v>
      </x:c>
      <x:c r="F83" s="20" t="str">
        <x:v>not captured in source extraction</x:v>
      </x:c>
      <x:c r="G83" s="20" t="str">
        <x:v>FOXO 信号通路</x:v>
      </x:c>
      <x:c r="H83" s="20" t="str">
        <x:v>多靶点协同抑制结直肠癌；
抑制 CRC 相关蛋白的过度表达；
通过稳定蛋白-配体复合物干扰癌细胞信号传导</x:v>
      </x:c>
      <x:c r="I83" s="20" t="str">
        <x:v>not captured</x:v>
      </x:c>
      <x:c r="J83" s="20" t="str">
        <x:v>not reported</x:v>
      </x:c>
      <x:c r="K83" s="20" t="str">
        <x:v>not reported</x:v>
      </x:c>
      <x:c r="L83" s="20" t="str">
        <x:v>Level 4: in silico-only</x:v>
      </x:c>
      <x:c r="M83" s="20" t="str">
        <x:v>not assigned</x:v>
      </x:c>
      <x:c r="N83" s="20" t="str">
        <x:v>38795259</x:v>
      </x:c>
      <x:c r="O83" s="20" t="str">
        <x:v>PMID38795259</x:v>
      </x:c>
      <x:c r="P83" s="20" t="str">
        <x:v>Kaempferol\82-38795259-unravelling the molecular mechanisti source mol divers so 2024.pdf</x:v>
      </x:c>
      <x:c r="Q83" s="20" t="str">
        <x:v>Unravelling the molecular mechanistic pathway underlying the anticancer effects of kaempferol in colorectal cancer: a reverse pharmacology network approach.</x:v>
      </x:c>
      <x:c r="R83" s="20" t="str">
        <x:v>Included</x:v>
      </x:c>
      <x:c r="S83" s="20" t="str">
        <x:v>2025</x:v>
      </x:c>
      <x:c r="T83" s="20" t="str">
        <x:v>2025/04/01</x:v>
      </x:c>
      <x:c r="U83" s="20" t="str">
        <x:v>Kaempferol</x:v>
      </x:c>
      <x:c r="V83" s="20" t="str">
        <x:v>强效抗癌生物活性化合物</x:v>
      </x:c>
      <x:c r="W83" s="20" t="str">
        <x:v>Not established from this row alone</x:v>
      </x:c>
      <x:c r="X83" s="20" t="str">
        <x:v>Dietary, generic botanical, or non-specific natural-product source</x:v>
      </x:c>
      <x:c r="Y83" s="20" t="str">
        <x:v>PMID 38795259; PMID38795259</x:v>
      </x:c>
      <x:c r="Z83" s="20" t="str">
        <x:v>Network pharmacology/in silico evidence</x:v>
      </x:c>
      <x:c r="AA83" s="20" t="str">
        <x:v>Row-level annotation; deduplicate by PMID for final reference-level counts</x:v>
      </x:c>
    </x:row>
    <x:row r="84">
      <x:c r="A84" s="20" t="str">
        <x:v>Kaempferol</x:v>
      </x:c>
      <x:c r="B84" s="20" t="str">
        <x:v>Flavonoids</x:v>
      </x:c>
      <x:c r="C84" s="20" t="str">
        <x:v>肠胃清Changweiqing (CWQ)</x:v>
      </x:c>
      <x:c r="D84" s="20" t="str">
        <x:v>计算模型：基于 TCMSP、SwissTargetPrediction、TCGA 等数据库的网络药理学与 WGCNA 分析</x:v>
      </x:c>
      <x:c r="E84" s="20" t="str">
        <x:v>Network/in silico</x:v>
      </x:c>
      <x:c r="F84" s="20" t="str">
        <x:v>not captured in source extraction</x:v>
      </x:c>
      <x:c r="G84" s="20" t="str">
        <x:v>癌症相关通路；
MAPK 信号通路；
AGE-RAGE 信号通路；
p53 信号通路；
FoxO 信号通路；
细胞周期调控</x:v>
      </x:c>
      <x:c r="H84" s="20" t="str">
        <x:v>not reported</x:v>
      </x:c>
      <x:c r="I84" s="20" t="str">
        <x:v>not captured</x:v>
      </x:c>
      <x:c r="J84" s="20" t="str">
        <x:v>not reported</x:v>
      </x:c>
      <x:c r="K84" s="20" t="str">
        <x:v>not reported</x:v>
      </x:c>
      <x:c r="L84" s="20" t="str">
        <x:v>Level 4: in silico-only</x:v>
      </x:c>
      <x:c r="M84" s="20" t="str">
        <x:v>Apoptosis/cell cycle; MAPK/JNK/ERK</x:v>
      </x:c>
      <x:c r="N84" s="20" t="str">
        <x:v>40065477</x:v>
      </x:c>
      <x:c r="O84" s="20" t="str">
        <x:v>PMID40065477</x:v>
      </x:c>
      <x:c r="P84" s="20" t="str">
        <x:v>isorhamnetin\40065477-Network pharmacological approach com Source Hereditas SO 2025.pdf</x:v>
      </x:c>
      <x:c r="Q84" s="20" t="str">
        <x:v>Network pharmacological approach combined with weighted gene co-expression network analysis identifies CDKN2A as the keg target of Changweiqing against colorectal cancer.</x:v>
      </x:c>
      <x:c r="R84" s="20" t="str">
        <x:v>Included</x:v>
      </x:c>
      <x:c r="S84" s="20" t="str">
        <x:v>2025</x:v>
      </x:c>
      <x:c r="T84" s="20" t="str">
        <x:v>2025/03/10</x:v>
      </x:c>
      <x:c r="U84" s="20" t="str">
        <x:v>Kaempferol</x:v>
      </x:c>
      <x:c r="V84" s="20" t="str">
        <x:v>肠胃清Changweiqing (CWQ)</x:v>
      </x:c>
      <x:c r="W84" s="20" t="str">
        <x:v>Not established from this row alone</x:v>
      </x:c>
      <x:c r="X84" s="20" t="str">
        <x:v>Dietary, generic botanical, or non-specific natural-product source</x:v>
      </x:c>
      <x:c r="Y84" s="20" t="str">
        <x:v>PMID 40065477; PMID40065477</x:v>
      </x:c>
      <x:c r="Z84" s="20" t="str">
        <x:v>Network pharmacology/in silico evidence</x:v>
      </x:c>
      <x:c r="AA84" s="20" t="str">
        <x:v>Row-level annotation; deduplicate by PMID for final reference-level counts</x:v>
      </x:c>
    </x:row>
    <x:row r="85">
      <x:c r="A85" s="20" t="str">
        <x:v>Kaempferol</x:v>
      </x:c>
      <x:c r="B85" s="20" t="str">
        <x:v>Flavonoids</x:v>
      </x:c>
      <x:c r="C85" s="20" t="str">
        <x:v>仙流阶段方Xianliu Jieduan Fang (XLJDF)</x:v>
      </x:c>
      <x:c r="D85" s="20" t="str">
        <x:v>体内模型：AOM/DSS 诱导的结肠炎相关结直肠癌（CAC）</x:v>
      </x:c>
      <x:c r="E85" s="20" t="str">
        <x:v>In vivo</x:v>
      </x:c>
      <x:c r="F85" s="20" t="str">
        <x:v>not captured in source extraction</x:v>
      </x:c>
      <x:c r="G85" s="20" t="str">
        <x:v>Wnt/β-catenin 信号通路；
凋亡调控通路；
细胞迁移调控通路</x:v>
      </x:c>
      <x:c r="H85" s="20" t="str">
        <x:v>改善结肠病理损伤；
抑制 β-catenin 蛋白稳定化；
促进癌细胞凋亡；
抑制细胞迁移</x:v>
      </x:c>
      <x:c r="I85" s="20" t="str">
        <x:v>yes</x:v>
      </x:c>
      <x:c r="J85" s="20" t="str">
        <x:v>not reported</x:v>
      </x:c>
      <x:c r="K85" s="20" t="str">
        <x:v>not reported</x:v>
      </x:c>
      <x:c r="L85" s="20" t="str">
        <x:v>Level 2: in vivo evidence</x:v>
      </x:c>
      <x:c r="M85" s="20" t="str">
        <x:v>Apoptosis/cell cycle; PI3K/Akt/mTOR/metabolism; Wnt/beta-catenin/stemness; EMT/ECM/metastasis</x:v>
      </x:c>
      <x:c r="N85" s="20" t="str">
        <x:v>40324811</x:v>
      </x:c>
      <x:c r="O85" s="20" t="str">
        <x:v>PMID40324811</x:v>
      </x:c>
      <x:c r="P85" s="20" t="str">
        <x:v>Kaempferol\84-40324811-exploring the anticancer effects of source biomed chromatogr so 2025.pdf</x:v>
      </x:c>
      <x:c r="Q85" s="20" t="str">
        <x:v>Exploring the Anticancer Effects of Xianliu Jieduan Fang on Colitis-Associated Colorectal Cancer Through Network Pharmacology and Experimental Validation.</x:v>
      </x:c>
      <x:c r="R85" s="20" t="str">
        <x:v>Included</x:v>
      </x:c>
      <x:c r="S85" s="20" t="str">
        <x:v>2025</x:v>
      </x:c>
      <x:c r="T85" s="20" t="str">
        <x:v>2025/06/01</x:v>
      </x:c>
      <x:c r="U85" s="20" t="str">
        <x:v>Kaempferol</x:v>
      </x:c>
      <x:c r="V85" s="20" t="str">
        <x:v>仙流阶段方Xianliu Jieduan Fang (XLJDF)</x:v>
      </x:c>
      <x:c r="W85" s="20" t="str">
        <x:v>Source-dependent—named Chinese medicinal material or TCM preparation recorded</x:v>
      </x:c>
      <x:c r="X85" s="20" t="str">
        <x:v>Requires source-level constituent verification for the specific record</x:v>
      </x:c>
      <x:c r="Y85" s="20" t="str">
        <x:v>PMID 40324811; PMID40324811</x:v>
      </x:c>
      <x:c r="Z85" s="20" t="str">
        <x:v>Network pharmacology/in silico evidence</x:v>
      </x:c>
      <x:c r="AA85" s="20" t="str">
        <x:v>Row-level annotation; deduplicate by PMID for final reference-level counts</x:v>
      </x:c>
    </x:row>
    <x:row r="86">
      <x:c r="A86" s="20" t="str">
        <x:v>Kaempferol</x:v>
      </x:c>
      <x:c r="B86" s="20" t="str">
        <x:v>Flavonoids</x:v>
      </x:c>
      <x:c r="C86" s="20" t="str">
        <x:v>植物</x:v>
      </x:c>
      <x:c r="D86" s="20" t="str">
        <x:v>分子动力学模拟模型</x:v>
      </x:c>
      <x:c r="E86" s="20" t="str">
        <x:v>Not specified</x:v>
      </x:c>
      <x:c r="F86" s="20" t="str">
        <x:v>not captured in source extraction</x:v>
      </x:c>
      <x:c r="G86" s="20" t="str">
        <x:v>not reported</x:v>
      </x:c>
      <x:c r="H86" s="20" t="str">
        <x:v>not reported</x:v>
      </x:c>
      <x:c r="I86" s="20" t="str">
        <x:v>not captured</x:v>
      </x:c>
      <x:c r="J86" s="20" t="str">
        <x:v>not reported</x:v>
      </x:c>
      <x:c r="K86" s="20" t="str">
        <x:v>not reported</x:v>
      </x:c>
      <x:c r="L86" s="20" t="str">
        <x:v>Excluded: insufficient extractable evidence</x:v>
      </x:c>
      <x:c r="M86" s="20" t="str">
        <x:v>not assigned</x:v>
      </x:c>
      <x:c r="N86" s="20" t="str">
        <x:v>34575665</x:v>
      </x:c>
      <x:c r="O86" s="20" t="str">
        <x:v>PMID34575665</x:v>
      </x:c>
      <x:c r="P86" s="20" t="str">
        <x:v>Kaempferol\85-34575665-analysis of syk gene as a prognostic biomarker and sug source j pers med 2021 sep 6 11 9 888.pdf</x:v>
      </x:c>
      <x:c r="Q86" s="20" t="str">
        <x:v>Analysis of SYK Gene as a Prognostic Biomarker and Suggested Potential Bioactive Phytochemicals as an Alternative Therapeutic Option for Colorectal Cancer: An In-Silico Pharmaco-Informatics Investigation.</x:v>
      </x:c>
      <x:c r="R86" s="20" t="str">
        <x:v>Excluded: insufficient extractable evidence</x:v>
      </x:c>
      <x:c r="S86" s="20" t="str">
        <x:v>2021</x:v>
      </x:c>
      <x:c r="T86" s="20" t="str">
        <x:v>2021/09/06</x:v>
      </x:c>
      <x:c r="U86" s="20" t="str">
        <x:v>Kaempferol</x:v>
      </x:c>
      <x:c r="V86" s="20" t="str">
        <x:v>植物</x:v>
      </x:c>
      <x:c r="W86" s="20" t="str">
        <x:v>Not established from this row alone</x:v>
      </x:c>
      <x:c r="X86" s="20" t="str">
        <x:v>Dietary, generic botanical, or non-specific natural-product source</x:v>
      </x:c>
      <x:c r="Y86" s="20" t="str">
        <x:v>PMID 34575665; PMID34575665</x:v>
      </x:c>
      <x:c r="Z86" s="20" t="str">
        <x:v>Not assessed for final attribution (excluded record)</x:v>
      </x:c>
      <x:c r="AA86" s="20" t="str">
        <x:v>Row-level annotation; deduplicate by PMID for final reference-level counts</x:v>
      </x:c>
    </x:row>
    <x:row r="87">
      <x:c r="A87" s="20" t="str">
        <x:v>Kaempferol</x:v>
      </x:c>
      <x:c r="B87" s="20" t="str">
        <x:v>Flavonoids</x:v>
      </x:c>
      <x:c r="C87" s="20" t="str">
        <x:v>日常饮食中的常见多酚</x:v>
      </x:c>
      <x:c r="D87" s="20" t="str">
        <x:v>ApcMin/+ 小鼠（结肠癌易感转基因小鼠模型）</x:v>
      </x:c>
      <x:c r="E87" s="20" t="str">
        <x:v>In vivo</x:v>
      </x:c>
      <x:c r="F87" s="20" t="str">
        <x:v>not captured in source extraction</x:v>
      </x:c>
      <x:c r="G87" s="20" t="str">
        <x:v>胆汁酸（BA）信号通路；
G 蛋白偶联受体（GPCR）通路；
NOD 样受体通路；
次级胆汁酸合成通路</x:v>
      </x:c>
      <x:c r="H87" s="20" t="str">
        <x:v>减少肿瘤负荷；
修复受损肠道屏障；
抑制细胞增殖；
调节胆汁酸代谢；
改善肠道菌群结构；
影响细胞分化、增殖、存活与凋亡</x:v>
      </x:c>
      <x:c r="I87" s="20" t="str">
        <x:v>yes</x:v>
      </x:c>
      <x:c r="J87" s="20" t="str">
        <x:v>not reported</x:v>
      </x:c>
      <x:c r="K87" s="20" t="str">
        <x:v>not reported</x:v>
      </x:c>
      <x:c r="L87" s="20" t="str">
        <x:v>Level 2: in vivo evidence</x:v>
      </x:c>
      <x:c r="M87" s="20" t="str">
        <x:v>Apoptosis/cell cycle</x:v>
      </x:c>
      <x:c r="N87" s="20" t="str">
        <x:v>35065044</x:v>
      </x:c>
      <x:c r="O87" s="20" t="str">
        <x:v>PMID35065044</x:v>
      </x:c>
      <x:c r="P87" s="20" t="str">
        <x:v>Kaempferol\86-35065044-kaempferol acts on bile acid signaling and gut microbiota to.pdf</x:v>
      </x:c>
      <x:c r="Q87" s="20" t="str">
        <x:v>Kaempferol acts on bile acid signaling and gut microbiota to attenuate the tumor burden in ApcMin/+ mice.</x:v>
      </x:c>
      <x:c r="R87" s="20" t="str">
        <x:v>Included</x:v>
      </x:c>
      <x:c r="S87" s="20" t="str">
        <x:v>2022</x:v>
      </x:c>
      <x:c r="T87" s="20" t="str">
        <x:v>2022/03/05</x:v>
      </x:c>
      <x:c r="U87" s="20" t="str">
        <x:v>Kaempferol</x:v>
      </x:c>
      <x:c r="V87" s="20" t="str">
        <x:v>日常饮食中的常见多酚</x:v>
      </x:c>
      <x:c r="W87" s="20" t="str">
        <x:v>Not established from this row alone</x:v>
      </x:c>
      <x:c r="X87" s="20" t="str">
        <x:v>Dietary, generic botanical, or non-specific natural-product source</x:v>
      </x:c>
      <x:c r="Y87" s="20" t="str">
        <x:v>PMID 35065044; PMID35065044</x:v>
      </x:c>
      <x:c r="Z87" s="20" t="str">
        <x:v>Purified isolated compound: Kaempferol</x:v>
      </x:c>
      <x:c r="AA87" s="20" t="str">
        <x:v>Row-level annotation; deduplicate by PMID for final reference-level counts</x:v>
      </x:c>
    </x:row>
    <x:row r="88">
      <x:c r="A88" s="20" t="str">
        <x:v>Kaempferol</x:v>
      </x:c>
      <x:c r="B88" s="20" t="str">
        <x:v>Flavonoids</x:v>
      </x:c>
      <x:c r="C88" s="20" t="str">
        <x:v>鱼腥草</x:v>
      </x:c>
      <x:c r="D88" s="20" t="str">
        <x:v>体外细胞模型：人结直肠癌细胞系 HCT116</x:v>
      </x:c>
      <x:c r="E88" s="20" t="str">
        <x:v>In vitro</x:v>
      </x:c>
      <x:c r="F88" s="20" t="str">
        <x:v>not captured in source extraction</x:v>
      </x:c>
      <x:c r="G88" s="20" t="str">
        <x:v>AGE-RAGE 信号通路；炎症与免疫调节通路；上皮细胞增殖相关生物学过程</x:v>
      </x:c>
      <x:c r="H88" s="20" t="str">
        <x:v>促进肿瘤细胞凋亡；下调促炎/促转移基因表；调节肿瘤免疫微环境达</x:v>
      </x:c>
      <x:c r="I88" s="20" t="str">
        <x:v>not captured</x:v>
      </x:c>
      <x:c r="J88" s="20" t="str">
        <x:v>not reported</x:v>
      </x:c>
      <x:c r="K88" s="20" t="str">
        <x:v>not reported</x:v>
      </x:c>
      <x:c r="L88" s="20" t="str">
        <x:v>Level 3: cell-based mechanistic evidence</x:v>
      </x:c>
      <x:c r="M88" s="20" t="str">
        <x:v>Apoptosis/cell cycle; NF-kB/STAT3/inflammation; EMT/ECM/metastasis; Immune microenvironment</x:v>
      </x:c>
      <x:c r="N88" s="20" t="str">
        <x:v>38888753</x:v>
      </x:c>
      <x:c r="O88" s="20" t="str">
        <x:v>PMID38888753</x:v>
      </x:c>
      <x:c r="P88" s="20" t="str">
        <x:v>not matched</x:v>
      </x:c>
      <x:c r="Q88" s="20" t="str">
        <x:v>Exploring the immunological mechanism of Houttuynia cordata in the treatment of colorectal cancer through combined network pharmacology and experimental validation.</x:v>
      </x:c>
      <x:c r="R88" s="20" t="str">
        <x:v>Excluded: no local PDF matched</x:v>
      </x:c>
      <x:c r="S88" s="20" t="str">
        <x:v>2024</x:v>
      </x:c>
      <x:c r="T88" s="20" t="str">
        <x:v>2024/11/01</x:v>
      </x:c>
      <x:c r="U88" s="20" t="str">
        <x:v>Kaempferol</x:v>
      </x:c>
      <x:c r="V88" s="20" t="str">
        <x:v>鱼腥草</x:v>
      </x:c>
      <x:c r="W88" s="20" t="str">
        <x:v>Not established from this row alone</x:v>
      </x:c>
      <x:c r="X88" s="20" t="str">
        <x:v>Dietary, generic botanical, or non-specific natural-product source</x:v>
      </x:c>
      <x:c r="Y88" s="20" t="str">
        <x:v>PMID 38888753; PMID38888753</x:v>
      </x:c>
      <x:c r="Z88" s="20" t="str">
        <x:v>Not assessed for final attribution (excluded record)</x:v>
      </x:c>
      <x:c r="AA88" s="20" t="str">
        <x:v>Row-level annotation; deduplicate by PMID for final reference-level counts</x:v>
      </x:c>
    </x:row>
    <x:row r="89">
      <x:c r="A89" s="20" t="str">
        <x:v>Kaempferol</x:v>
      </x:c>
      <x:c r="B89" s="20" t="str">
        <x:v>Flavonoids</x:v>
      </x:c>
      <x:c r="C89" s="20" t="str">
        <x:v>大葱和菊苣的叶子中</x:v>
      </x:c>
      <x:c r="D89" s="20" t="str">
        <x:v>体外细胞模型：
奥沙利铂敏感型 HCT116 细胞（HCT116-OxS）
奥沙利铂耐药型 HCT116 细胞（HCT116-OxR）
HT29 结肠癌细胞</x:v>
      </x:c>
      <x:c r="E89" s="20" t="str">
        <x:v>In vitro</x:v>
      </x:c>
      <x:c r="F89" s="20" t="str">
        <x:v>not captured in source extraction</x:v>
      </x:c>
      <x:c r="G89" s="20" t="str">
        <x:v>MAPK 和 PI3K-AKT 信号通路；AP-1 转录激活通路；</x:v>
      </x:c>
      <x:c r="H89" s="20" t="str">
        <x:v>最强的抗增殖作用；显著抑制 AP-1 转录活性</x:v>
      </x:c>
      <x:c r="I89" s="20" t="str">
        <x:v>not captured</x:v>
      </x:c>
      <x:c r="J89" s="20" t="str">
        <x:v>not reported</x:v>
      </x:c>
      <x:c r="K89" s="20" t="str">
        <x:v>not reported</x:v>
      </x:c>
      <x:c r="L89" s="20" t="str">
        <x:v>Level 3: cell-based mechanistic evidence</x:v>
      </x:c>
      <x:c r="M89" s="20" t="str">
        <x:v>PI3K/Akt/mTOR/metabolism; MAPK/JNK/ERK</x:v>
      </x:c>
      <x:c r="N89" s="20" t="str">
        <x:v>34750753</x:v>
      </x:c>
      <x:c r="O89" s="20" t="str">
        <x:v>PMID34750753</x:v>
      </x:c>
      <x:c r="P89" s="20" t="str">
        <x:v>Kaempferol\88-34750753-kaempferol sensitizes cell prolifera source arch pharm res so 2021 nov 9.pdf</x:v>
      </x:c>
      <x:c r="Q89" s="20" t="str">
        <x:v>Kaempferol sensitizes cell proliferation inhibition in oxaliplatin-resistant colon cancer cells.</x:v>
      </x:c>
      <x:c r="R89" s="20" t="str">
        <x:v>Included</x:v>
      </x:c>
      <x:c r="S89" s="20" t="str">
        <x:v>2021</x:v>
      </x:c>
      <x:c r="T89" s="20" t="str">
        <x:v>2021/12/01</x:v>
      </x:c>
      <x:c r="U89" s="20" t="str">
        <x:v>Kaempferol</x:v>
      </x:c>
      <x:c r="V89" s="20" t="str">
        <x:v>大葱和菊苣的叶子中</x:v>
      </x:c>
      <x:c r="W89" s="20" t="str">
        <x:v>Not established from this row alone</x:v>
      </x:c>
      <x:c r="X89" s="20" t="str">
        <x:v>Dietary, generic botanical, or non-specific natural-product source</x:v>
      </x:c>
      <x:c r="Y89" s="20" t="str">
        <x:v>PMID 34750753; PMID34750753</x:v>
      </x:c>
      <x:c r="Z89" s="20" t="str">
        <x:v>Purified isolated compound: Kaempferol</x:v>
      </x:c>
      <x:c r="AA89" s="20" t="str">
        <x:v>Row-level annotation; deduplicate by PMID for final reference-level counts</x:v>
      </x:c>
    </x:row>
    <x:row r="90">
      <x:c r="A90" s="20" t="str">
        <x:v>Kaempferol</x:v>
      </x:c>
      <x:c r="B90" s="20" t="str">
        <x:v>Flavonoids</x:v>
      </x:c>
      <x:c r="C90" s="20" t="str">
        <x:v>扶正解毒方</x:v>
      </x:c>
      <x:c r="D90" s="20" t="str">
        <x:v>纯计算性网络药理学分析</x:v>
      </x:c>
      <x:c r="E90" s="20" t="str">
        <x:v>Network/in silico</x:v>
      </x:c>
      <x:c r="F90" s="20" t="str">
        <x:v>not captured in source extraction</x:v>
      </x:c>
      <x:c r="G90" s="20" t="str">
        <x:v>PI3K-Akt 信号通路；
FoxO 信号通路
HIF-1 信号通路）
T 细胞受体信号通路
ErbB 信号通路</x:v>
      </x:c>
      <x:c r="H90" s="20" t="str">
        <x:v>调节细胞增殖
诱导细胞凋亡
抑制血管生成
调控炎症反应
调节免疫功能</x:v>
      </x:c>
      <x:c r="I90" s="20" t="str">
        <x:v>not captured</x:v>
      </x:c>
      <x:c r="J90" s="20" t="str">
        <x:v>not reported</x:v>
      </x:c>
      <x:c r="K90" s="20" t="str">
        <x:v>not reported</x:v>
      </x:c>
      <x:c r="L90" s="20" t="str">
        <x:v>Contextual mixture/formulation evidence</x:v>
      </x:c>
      <x:c r="M90" s="20" t="str">
        <x:v>Apoptosis/cell cycle; PI3K/Akt/mTOR/metabolism; NF-kB/STAT3/inflammation; MAPK/JNK/ERK; EMT/ECM/metastasis; Immune microenvironment</x:v>
      </x:c>
      <x:c r="N90" s="20" t="str">
        <x:v>33688358</x:v>
      </x:c>
      <x:c r="O90" s="20" t="str">
        <x:v>PMID33688358</x:v>
      </x:c>
      <x:c r="P90" s="20" t="str">
        <x:v>Kaempferol\89-33688358-network pharmacology inte source evid based complement alternat med 2021 feb 20 2021 4652492.pdf</x:v>
      </x:c>
      <x:c r="Q90" s="20" t="str">
        <x:v>Network Pharmacology Interpretation of Fuzheng-Jiedu Decoction against Colorectal Cancer.</x:v>
      </x:c>
      <x:c r="R90" s="20" t="str">
        <x:v>Included</x:v>
      </x:c>
      <x:c r="S90" s="20" t="str">
        <x:v>2021</x:v>
      </x:c>
      <x:c r="T90" s="20" t="str">
        <x:v>2021/02/20</x:v>
      </x:c>
      <x:c r="U90" s="20" t="str">
        <x:v>Kaempferol</x:v>
      </x:c>
      <x:c r="V90" s="20" t="str">
        <x:v>扶正解毒方</x:v>
      </x:c>
      <x:c r="W90" s="20" t="str">
        <x:v>Source-dependent—named Chinese medicinal material or TCM preparation recorded</x:v>
      </x:c>
      <x:c r="X90" s="20" t="str">
        <x:v>Requires source-level constituent verification for the specific record</x:v>
      </x:c>
      <x:c r="Y90" s="20" t="str">
        <x:v>PMID 33688358; PMID33688358</x:v>
      </x:c>
      <x:c r="Z90" s="20" t="str">
        <x:v>Extract/formula/decoction contextual evidence</x:v>
      </x:c>
      <x:c r="AA90" s="20" t="str">
        <x:v>Row-level annotation; deduplicate by PMID for final reference-level counts</x:v>
      </x:c>
    </x:row>
    <x:row r="91">
      <x:c r="A91" s="20" t="str">
        <x:v>Kaempferol</x:v>
      </x:c>
      <x:c r="B91" s="20" t="str">
        <x:v>Flavonoids</x:v>
      </x:c>
      <x:c r="C91" s="20" t="str">
        <x:v>天然黄酮类化合物</x:v>
      </x:c>
      <x:c r="D91" s="20" t="str">
        <x:v>人结肠癌细胞系：HCT116 和 DLD1</x:v>
      </x:c>
      <x:c r="E91" s="20" t="str">
        <x:v>In vitro</x:v>
      </x:c>
      <x:c r="F91" s="20" t="str">
        <x:v>not captured in source extraction</x:v>
      </x:c>
      <x:c r="G91" s="20" t="str">
        <x:v>miR-339-5p → hnRNPA1/PTBP1 → PKM 剪接 → PKM2/PKM1 转换 → 抑制有氧糖酵解</x:v>
      </x:c>
      <x:c r="H91" s="20" t="str">
        <x:v>1. 抑制结肠癌细胞增殖
2. 阻滞细胞周期于 G1 期
3. 诱导细胞凋亡
4. 抑制有氧糖酵解</x:v>
      </x:c>
      <x:c r="I91" s="20" t="str">
        <x:v>not captured</x:v>
      </x:c>
      <x:c r="J91" s="20" t="str">
        <x:v>not reported</x:v>
      </x:c>
      <x:c r="K91" s="20" t="str">
        <x:v>not reported</x:v>
      </x:c>
      <x:c r="L91" s="20" t="str">
        <x:v>Level 3: cell-based mechanistic evidence</x:v>
      </x:c>
      <x:c r="M91" s="20" t="str">
        <x:v>Apoptosis/cell cycle; PI3K/Akt/mTOR/metabolism</x:v>
      </x:c>
      <x:c r="N91" s="20" t="str">
        <x:v>33663206</x:v>
      </x:c>
      <x:c r="O91" s="20" t="str">
        <x:v>PMID33663206</x:v>
      </x:c>
      <x:c r="P91" s="20" t="str">
        <x:v>Kaempferol\90-33663206-network pharmacology inte source evid based complement alternat med 2021 feb 20 2021 4652492.pdf</x:v>
      </x:c>
      <x:c r="Q91" s="20" t="str">
        <x:v>Kaempferol Reverses Aerobic Glycolysis via miR-339-5p-Mediated PKM Alternative Splicing in Colon Cancer Cells.</x:v>
      </x:c>
      <x:c r="R91" s="20" t="str">
        <x:v>Included</x:v>
      </x:c>
      <x:c r="S91" s="20" t="str">
        <x:v>2021</x:v>
      </x:c>
      <x:c r="T91" s="20" t="str">
        <x:v>2021/03/17</x:v>
      </x:c>
      <x:c r="U91" s="20" t="str">
        <x:v>Kaempferol</x:v>
      </x:c>
      <x:c r="V91" s="20" t="str">
        <x:v>天然黄酮类化合物</x:v>
      </x:c>
      <x:c r="W91" s="20" t="str">
        <x:v>Not established from this row alone</x:v>
      </x:c>
      <x:c r="X91" s="20" t="str">
        <x:v>Dietary, generic botanical, or non-specific natural-product source</x:v>
      </x:c>
      <x:c r="Y91" s="20" t="str">
        <x:v>PMID 33663206; PMID33663206</x:v>
      </x:c>
      <x:c r="Z91" s="20" t="str">
        <x:v>Purified isolated compound: Kaempferol</x:v>
      </x:c>
      <x:c r="AA91" s="20" t="str">
        <x:v>Row-level annotation; deduplicate by PMID for final reference-level counts</x:v>
      </x:c>
    </x:row>
    <x:row r="92">
      <x:c r="A92" s="20" t="str">
        <x:v>Kaempferol</x:v>
      </x:c>
      <x:c r="B92" s="20" t="str">
        <x:v>Flavonoids</x:v>
      </x:c>
      <x:c r="C92" s="20" t="str">
        <x:v>食用植物、药用植物及日常食物</x:v>
      </x:c>
      <x:c r="D92" s="20" t="str">
        <x:v>计算模型：基于 TCMSP、SwissTargetPrediction、GeneCards、CTD 等数据库的网络药理学分析；
体外细胞实验模型：奥沙利铂处理的星形胶质细胞（astrocytes），用于模拟奥沙利铂诱导的神经毒性</x:v>
      </x:c>
      <x:c r="E92" s="20" t="str">
        <x:v>In vitro</x:v>
      </x:c>
      <x:c r="F92" s="20" t="str">
        <x:v>not captured in source extraction</x:v>
      </x:c>
      <x:c r="G92" s="20" t="str">
        <x:v>IL-17 信号通路；炎症相关通路</x:v>
      </x:c>
      <x:c r="H92" s="20" t="str">
        <x:v>下调炎症因子的 mRNA 表达；
缓解奥沙利铂诱导的神经毒性；
通过调控炎症相关基因发挥保护作用。</x:v>
      </x:c>
      <x:c r="I92" s="20" t="str">
        <x:v>not captured</x:v>
      </x:c>
      <x:c r="J92" s="20" t="str">
        <x:v>not reported</x:v>
      </x:c>
      <x:c r="K92" s="20" t="str">
        <x:v>not reported</x:v>
      </x:c>
      <x:c r="L92" s="20" t="str">
        <x:v>Level 3: cell-based mechanistic evidence</x:v>
      </x:c>
      <x:c r="M92" s="20" t="str">
        <x:v>NF-kB/STAT3/inflammation</x:v>
      </x:c>
      <x:c r="N92" s="20" t="str">
        <x:v>35574720</x:v>
      </x:c>
      <x:c r="O92" s="20" t="str">
        <x:v>PMID35574720</x:v>
      </x:c>
      <x:c r="P92" s="20" t="str">
        <x:v>Kaempferol\91-35574720-utilizing network pharmacological analysis to investigate the key targ.pdf</x:v>
      </x:c>
      <x:c r="Q92" s="20" t="str">
        <x:v>Utilizing network pharmacological analysis to investigate the key targets and mechanisms of kaempferol against oxaliplatin-induced neurotoxicity.</x:v>
      </x:c>
      <x:c r="R92" s="20" t="str">
        <x:v>Excluded: no CRC-specific model or outcome extracted</x:v>
      </x:c>
      <x:c r="S92" s="20" t="str">
        <x:v>2023</x:v>
      </x:c>
      <x:c r="T92" s="20" t="str">
        <x:v>2023/01/01</x:v>
      </x:c>
      <x:c r="U92" s="20" t="str">
        <x:v>Kaempferol</x:v>
      </x:c>
      <x:c r="V92" s="20" t="str">
        <x:v>食用植物、药用植物及日常食物</x:v>
      </x:c>
      <x:c r="W92" s="20" t="str">
        <x:v>Not established from this row alone</x:v>
      </x:c>
      <x:c r="X92" s="20" t="str">
        <x:v>Dietary, generic botanical, or non-specific natural-product source</x:v>
      </x:c>
      <x:c r="Y92" s="20" t="str">
        <x:v>PMID 35574720; PMID35574720</x:v>
      </x:c>
      <x:c r="Z92" s="20" t="str">
        <x:v>Not assessed for final attribution (excluded record)</x:v>
      </x:c>
      <x:c r="AA92" s="20" t="str">
        <x:v>Row-level annotation; deduplicate by PMID for final reference-level counts</x:v>
      </x:c>
    </x:row>
    <x:row r="93">
      <x:c r="A93" s="20" t="str">
        <x:v>Kaempferol</x:v>
      </x:c>
      <x:c r="B93" s="20" t="str">
        <x:v>Flavonoids</x:v>
      </x:c>
      <x:c r="C93" s="20" t="str">
        <x:v>Wenzi Jiedu Decoction (WJD)</x:v>
      </x:c>
      <x:c r="D93" s="20" t="str">
        <x:v>体内动物模型：结直肠癌荷瘤小鼠</x:v>
      </x:c>
      <x:c r="E93" s="20" t="str">
        <x:v>In vivo</x:v>
      </x:c>
      <x:c r="F93" s="20" t="str">
        <x:v>not captured in source extraction</x:v>
      </x:c>
      <x:c r="G93" s="20" t="str">
        <x:v>趋化因子信号通路；
细胞凋亡通路</x:v>
      </x:c>
      <x:c r="H93" s="20" t="str">
        <x:v>抑制肿瘤生长；
调节 T 细胞亚群比例；
促进肿瘤细胞凋亡；
抑制炎症趋化因子表达</x:v>
      </x:c>
      <x:c r="I93" s="20" t="str">
        <x:v>yes</x:v>
      </x:c>
      <x:c r="J93" s="20" t="str">
        <x:v>not reported</x:v>
      </x:c>
      <x:c r="K93" s="20" t="str">
        <x:v>not reported</x:v>
      </x:c>
      <x:c r="L93" s="20" t="str">
        <x:v>Contextual mixture/formulation evidence</x:v>
      </x:c>
      <x:c r="M93" s="20" t="str">
        <x:v>Apoptosis/cell cycle; PI3K/Akt/mTOR/metabolism; NF-kB/STAT3/inflammation</x:v>
      </x:c>
      <x:c r="N93" s="20" t="str">
        <x:v>39731415</x:v>
      </x:c>
      <x:c r="O93" s="20" t="str">
        <x:v>PMID39731415</x:v>
      </x:c>
      <x:c r="P93" s="20" t="str">
        <x:v>Formononetin\105-39731415-Integrating UPLC MS MS Bioinformatic Source Phytochem Anal SO 2024 (1).pdf</x:v>
      </x:c>
      <x:c r="Q93" s="20" t="str">
        <x:v>Integrating UPLC-MS/MS Bioinformatics and In Vivo Experiments Validation to Elucidate the Mechanism of Wenzi Jiedu Decoction in Suppressing Colorectal Cancer.</x:v>
      </x:c>
      <x:c r="R93" s="20" t="str">
        <x:v>Included</x:v>
      </x:c>
      <x:c r="S93" s="20" t="str">
        <x:v>2025</x:v>
      </x:c>
      <x:c r="T93" s="20" t="str">
        <x:v>2025/06/01</x:v>
      </x:c>
      <x:c r="U93" s="20" t="str">
        <x:v>Kaempferol</x:v>
      </x:c>
      <x:c r="V93" s="20" t="str">
        <x:v>Wenzi Jiedu Decoction (WJD)</x:v>
      </x:c>
      <x:c r="W93" s="20" t="str">
        <x:v>Source-dependent—named Chinese medicinal material or TCM preparation recorded</x:v>
      </x:c>
      <x:c r="X93" s="20" t="str">
        <x:v>Requires source-level constituent verification for the specific record</x:v>
      </x:c>
      <x:c r="Y93" s="20" t="str">
        <x:v>PMID 39731415; PMID39731415</x:v>
      </x:c>
      <x:c r="Z93" s="20" t="str">
        <x:v>Extract/formula/decoction contextual evidence</x:v>
      </x:c>
      <x:c r="AA93" s="20" t="str">
        <x:v>Row-level annotation; deduplicate by PMID for final reference-level counts</x:v>
      </x:c>
    </x:row>
    <x:row r="94">
      <x:c r="A94" s="20" t="str">
        <x:v>Kaempferol</x:v>
      </x:c>
      <x:c r="B94" s="20" t="str">
        <x:v>Flavonoids</x:v>
      </x:c>
      <x:c r="C94" s="20" t="str">
        <x:v>三叶崖爬藤（Tetrastigma hemsleyanum）干燥根部的总黄酮提取物</x:v>
      </x:c>
      <x:c r="D94" s="20" t="str">
        <x:v>体外：HCT-116 和 HT-29 人结直肠癌细胞系
体内：HCT-116 细胞裸鼠移植瘤模型</x:v>
      </x:c>
      <x:c r="E94" s="20" t="str">
        <x:v>In vitro + in vivo</x:v>
      </x:c>
      <x:c r="F94" s="20" t="str">
        <x:v>not captured in source extraction</x:v>
      </x:c>
      <x:c r="G94" s="20" t="str">
        <x:v>PI3K/AKT/mTOR 信号通路</x:v>
      </x:c>
      <x:c r="H94" s="20" t="str">
        <x:v>抑制结直肠癌细胞增殖；
抑制克隆形成能力；
促进 HCT-116 细胞凋亡；
延缓体内肿瘤生长</x:v>
      </x:c>
      <x:c r="I94" s="20" t="str">
        <x:v>not captured</x:v>
      </x:c>
      <x:c r="J94" s="20" t="str">
        <x:v>not reported</x:v>
      </x:c>
      <x:c r="K94" s="20" t="str">
        <x:v>not reported</x:v>
      </x:c>
      <x:c r="L94" s="20" t="str">
        <x:v>Level 1: animal-validated mechanistic evidence</x:v>
      </x:c>
      <x:c r="M94" s="20" t="str">
        <x:v>Apoptosis/cell cycle; PI3K/Akt/mTOR/metabolism</x:v>
      </x:c>
      <x:c r="N94" s="20" t="str">
        <x:v>35831026</x:v>
      </x:c>
      <x:c r="O94" s="20" t="str">
        <x:v>PMID35831026</x:v>
      </x:c>
      <x:c r="P94" s="20" t="str">
        <x:v>astragalin\161-35831026-Total flavonoids from the dried root Source Phytother Res SO 2022 (1).pdf</x:v>
      </x:c>
      <x:c r="Q94" s="20" t="str">
        <x:v>Total flavonoids from the dried root of Tetrastigma hemsleyanum Diels et Gilg inhibit colorectal cancer growth through PI3K/AKT/mTOR signaling pathway.</x:v>
      </x:c>
      <x:c r="R94" s="20" t="str">
        <x:v>Included</x:v>
      </x:c>
      <x:c r="S94" s="20" t="str">
        <x:v>2022</x:v>
      </x:c>
      <x:c r="T94" s="20" t="str">
        <x:v>2022/11/01</x:v>
      </x:c>
      <x:c r="U94" s="20" t="str">
        <x:v>Kaempferol</x:v>
      </x:c>
      <x:c r="V94" s="20" t="str">
        <x:v>三叶崖爬藤（Tetrastigma hemsleyanum）干燥根部的总黄酮提取物</x:v>
      </x:c>
      <x:c r="W94" s="20" t="str">
        <x:v>Not established from this row alone</x:v>
      </x:c>
      <x:c r="X94" s="20" t="str">
        <x:v>Dietary, generic botanical, or non-specific natural-product source</x:v>
      </x:c>
      <x:c r="Y94" s="20" t="str">
        <x:v>PMID 35831026; PMID35831026</x:v>
      </x:c>
      <x:c r="Z94" s="20" t="str">
        <x:v>Extract/formula/decoction contextual evidence</x:v>
      </x:c>
      <x:c r="AA94" s="20" t="str">
        <x:v>Row-level annotation; deduplicate by PMID for final reference-level counts</x:v>
      </x:c>
    </x:row>
    <x:row r="95">
      <x:c r="A95" s="20" t="str">
        <x:v>Kaempferol</x:v>
      </x:c>
      <x:c r="B95" s="20" t="str">
        <x:v>Flavonoids</x:v>
      </x:c>
      <x:c r="C95" s="20" t="str">
        <x:v>Erteng-Sanjie 胶囊（ETSJC）</x:v>
      </x:c>
      <x:c r="D95" s="20" t="str">
        <x:v>计算模型：网络药理学、PPI 网络、分子对接；
体内验证模型：动物实验</x:v>
      </x:c>
      <x:c r="E95" s="20" t="str">
        <x:v>In vivo</x:v>
      </x:c>
      <x:c r="F95" s="20" t="str">
        <x:v>not captured in source extraction</x:v>
      </x:c>
      <x:c r="G95" s="20" t="str">
        <x:v>PI3K-Akt 信号通路</x:v>
      </x:c>
      <x:c r="H95" s="20" t="str">
        <x:v>抑制胃癌和结直肠癌肿瘤细胞增殖；
促进肿瘤细胞凋亡</x:v>
      </x:c>
      <x:c r="I95" s="20" t="str">
        <x:v>yes</x:v>
      </x:c>
      <x:c r="J95" s="20" t="str">
        <x:v>not reported</x:v>
      </x:c>
      <x:c r="K95" s="20" t="str">
        <x:v>not reported</x:v>
      </x:c>
      <x:c r="L95" s="20" t="str">
        <x:v>Level 2: in vivo evidence</x:v>
      </x:c>
      <x:c r="M95" s="20" t="str">
        <x:v>Apoptosis/cell cycle; PI3K/Akt/mTOR/metabolism; NF-kB/STAT3/inflammation; MAPK/JNK/ERK</x:v>
      </x:c>
      <x:c r="N95" s="20" t="str">
        <x:v>38428659</x:v>
      </x:c>
      <x:c r="O95" s="20" t="str">
        <x:v>PMID38428659</x:v>
      </x:c>
      <x:c r="P95" s="20" t="str">
        <x:v>Kaempferol\94-38428659-exploring the mechanism of erteng sa source j ethnopharmacol so 2024.pdf</x:v>
      </x:c>
      <x:c r="Q95" s="20" t="str">
        <x:v>Exploring the mechanism of Erteng-Sanjie capsule in treating gastric and colorectal cancers via network pharmacology and in-vivo validation.</x:v>
      </x:c>
      <x:c r="R95" s="20" t="str">
        <x:v>Included</x:v>
      </x:c>
      <x:c r="S95" s="20" t="str">
        <x:v>2024</x:v>
      </x:c>
      <x:c r="T95" s="20" t="str">
        <x:v>2024/06/12</x:v>
      </x:c>
      <x:c r="U95" s="20" t="str">
        <x:v>Kaempferol</x:v>
      </x:c>
      <x:c r="V95" s="20" t="str">
        <x:v>Erteng-Sanjie 胶囊（ETSJC）</x:v>
      </x:c>
      <x:c r="W95" s="20" t="str">
        <x:v>Source-dependent—named Chinese medicinal material or TCM preparation recorded</x:v>
      </x:c>
      <x:c r="X95" s="20" t="str">
        <x:v>Requires source-level constituent verification for the specific record</x:v>
      </x:c>
      <x:c r="Y95" s="20" t="str">
        <x:v>PMID 38428659; PMID38428659</x:v>
      </x:c>
      <x:c r="Z95" s="20" t="str">
        <x:v>Extract/formula/decoction contextual evidence</x:v>
      </x:c>
      <x:c r="AA95" s="20" t="str">
        <x:v>Row-level annotation; deduplicate by PMID for final reference-level counts</x:v>
      </x:c>
    </x:row>
    <x:row r="96">
      <x:c r="A96" s="20" t="str">
        <x:v>Kaempferol</x:v>
      </x:c>
      <x:c r="B96" s="20" t="str">
        <x:v>Flavonoids</x:v>
      </x:c>
      <x:c r="C96" s="20" t="str">
        <x:v>植物或食物</x:v>
      </x:c>
      <x:c r="D96" s="20" t="str">
        <x:v>DMH 诱导的结直肠癌（CRC）动物模型</x:v>
      </x:c>
      <x:c r="E96" s="20" t="str">
        <x:v>In vivo</x:v>
      </x:c>
      <x:c r="F96" s="20" t="str">
        <x:v>not captured in source extraction</x:v>
      </x:c>
      <x:c r="G96" s="20" t="str">
        <x:v>not reported</x:v>
      </x:c>
      <x:c r="H96" s="20" t="str">
        <x:v>1. 血液保护作用
2. 免疫调节作用
3. 保护肠道和脾脏结构完整性
4. 改善肝损伤
5. 缓解肾功能损伤
6. 对抗 5-FU 引起的多器官毒性</x:v>
      </x:c>
      <x:c r="I96" s="20" t="str">
        <x:v>yes</x:v>
      </x:c>
      <x:c r="J96" s="20" t="str">
        <x:v>not reported</x:v>
      </x:c>
      <x:c r="K96" s="20" t="str">
        <x:v>not reported</x:v>
      </x:c>
      <x:c r="L96" s="20" t="str">
        <x:v>Level 2: in vivo evidence</x:v>
      </x:c>
      <x:c r="M96" s="20" t="str">
        <x:v>Immune microenvironment</x:v>
      </x:c>
      <x:c r="N96" s="20" t="str">
        <x:v>38287048</x:v>
      </x:c>
      <x:c r="O96" s="20" t="str">
        <x:v>PMID38287048</x:v>
      </x:c>
      <x:c r="P96" s="20" t="str">
        <x:v>Kaempferol\95-38287048-integrated blood and organ profile a sci rep.pdf</x:v>
      </x:c>
      <x:c r="Q96" s="20" t="str">
        <x:v>Integrated blood and organ profile analysis to evaluate ameliorative effects of kaempferol on 5-fluorouracil-induced toxicity.</x:v>
      </x:c>
      <x:c r="R96" s="20" t="str">
        <x:v>Included</x:v>
      </x:c>
      <x:c r="S96" s="20" t="str">
        <x:v>2024</x:v>
      </x:c>
      <x:c r="T96" s="20" t="str">
        <x:v>2024/01/29</x:v>
      </x:c>
      <x:c r="U96" s="20" t="str">
        <x:v>Kaempferol</x:v>
      </x:c>
      <x:c r="V96" s="20" t="str">
        <x:v>植物或食物</x:v>
      </x:c>
      <x:c r="W96" s="20" t="str">
        <x:v>Not established from this row alone</x:v>
      </x:c>
      <x:c r="X96" s="20" t="str">
        <x:v>Dietary, generic botanical, or non-specific natural-product source</x:v>
      </x:c>
      <x:c r="Y96" s="20" t="str">
        <x:v>PMID 38287048; PMID38287048</x:v>
      </x:c>
      <x:c r="Z96" s="20" t="str">
        <x:v>Purified isolated compound: Kaempferol</x:v>
      </x:c>
      <x:c r="AA96" s="20" t="str">
        <x:v>Row-level annotation; deduplicate by PMID for final reference-level counts</x:v>
      </x:c>
    </x:row>
    <x:row r="97">
      <x:c r="A97" s="20" t="str">
        <x:v>Kaempferol</x:v>
      </x:c>
      <x:c r="B97" s="20" t="str">
        <x:v>Flavonoids</x:v>
      </x:c>
      <x:c r="C97" s="20" t="str">
        <x:v>黄芪</x:v>
      </x:c>
      <x:c r="D97" s="20" t="str">
        <x:v>计算模型：网络药理学分析；体内动物模型：转移性结肠癌小鼠模型</x:v>
      </x:c>
      <x:c r="E97" s="20" t="str">
        <x:v>In vivo</x:v>
      </x:c>
      <x:c r="F97" s="20" t="str">
        <x:v>not captured in source extraction</x:v>
      </x:c>
      <x:c r="G97" s="20" t="str">
        <x:v>细胞凋亡通路</x:v>
      </x:c>
      <x:c r="H97" s="20" t="str">
        <x:v>促进肿瘤细胞凋亡；
上调促凋亡蛋白（Bax, Caspase3, Cleaved caspase3）；
下调抗凋亡蛋白</x:v>
      </x:c>
      <x:c r="I97" s="20" t="str">
        <x:v>yes</x:v>
      </x:c>
      <x:c r="J97" s="20" t="str">
        <x:v>not reported</x:v>
      </x:c>
      <x:c r="K97" s="20" t="str">
        <x:v>not reported</x:v>
      </x:c>
      <x:c r="L97" s="20" t="str">
        <x:v>Contextual mixture/formulation evidence</x:v>
      </x:c>
      <x:c r="M97" s="20" t="str">
        <x:v>Apoptosis/cell cycle; EMT/ECM/metastasis</x:v>
      </x:c>
      <x:c r="N97" s="20" t="str">
        <x:v>33658761</x:v>
      </x:c>
      <x:c r="O97" s="20" t="str">
        <x:v>PMID33658761</x:v>
      </x:c>
      <x:c r="P97" s="20" t="str">
        <x:v>Formononetin\106-33658761-Danggui Buxue Decoction in the Treat Source Drug Des Devel Ther SO 2021 15 705 720.pdf</x:v>
      </x:c>
      <x:c r="Q97" s="20" t="str">
        <x:v>Danggui Buxue Decoction in the Treatment of Metastatic Colon Cancer: Network Pharmacology Analysis and Experimental Validation.</x:v>
      </x:c>
      <x:c r="R97" s="20" t="str">
        <x:v>Included</x:v>
      </x:c>
      <x:c r="S97" s="20" t="str">
        <x:v>2021</x:v>
      </x:c>
      <x:c r="T97" s="20" t="str">
        <x:v>2021/02/24</x:v>
      </x:c>
      <x:c r="U97" s="20" t="str">
        <x:v>Kaempferol</x:v>
      </x:c>
      <x:c r="V97" s="20" t="str">
        <x:v>黄芪</x:v>
      </x:c>
      <x:c r="W97" s="20" t="str">
        <x:v>Source-dependent—named Chinese medicinal material or TCM preparation recorded</x:v>
      </x:c>
      <x:c r="X97" s="20" t="str">
        <x:v>Requires source-level constituent verification for the specific record</x:v>
      </x:c>
      <x:c r="Y97" s="20" t="str">
        <x:v>PMID 33658761; PMID33658761</x:v>
      </x:c>
      <x:c r="Z97" s="20" t="str">
        <x:v>Extract/formula/decoction contextual evidence</x:v>
      </x:c>
      <x:c r="AA97" s="20" t="str">
        <x:v>Row-level annotation; deduplicate by PMID for final reference-level counts</x:v>
      </x:c>
    </x:row>
    <x:row r="98">
      <x:c r="A98" s="20" t="str">
        <x:v>Kaempferol</x:v>
      </x:c>
      <x:c r="B98" s="20" t="str">
        <x:v>Flavonoids</x:v>
      </x:c>
      <x:c r="C98" s="20" t="str">
        <x:v>柿</x:v>
      </x:c>
      <x:c r="D98" s="20" t="str">
        <x:v>体外细胞模型：
E705 CRC 细胞系、SW480 细胞
正常结肠上皮细胞 CCD 841</x:v>
      </x:c>
      <x:c r="E98" s="20" t="str">
        <x:v>In vitro</x:v>
      </x:c>
      <x:c r="F98" s="20" t="str">
        <x:v>not captured in source extraction</x:v>
      </x:c>
      <x:c r="G98" s="20" t="str">
        <x:v>线粒体功能障碍、氧化应激通路</x:v>
      </x:c>
      <x:c r="H98" s="20" t="str">
        <x:v>选择性降低 CRC 细胞活力；
诱导癌细胞凋亡；
增加活性氧（ROS）；
破坏线粒体功能</x:v>
      </x:c>
      <x:c r="I98" s="20" t="str">
        <x:v>not captured</x:v>
      </x:c>
      <x:c r="J98" s="20" t="str">
        <x:v>not reported</x:v>
      </x:c>
      <x:c r="K98" s="20" t="str">
        <x:v>not reported</x:v>
      </x:c>
      <x:c r="L98" s="20" t="str">
        <x:v>Contextual mixture/formulation evidence</x:v>
      </x:c>
      <x:c r="M98" s="20" t="str">
        <x:v>Apoptosis/cell cycle; ROS/ferroptosis</x:v>
      </x:c>
      <x:c r="N98" s="20" t="str">
        <x:v>39519575</x:v>
      </x:c>
      <x:c r="O98" s="20" t="str">
        <x:v>not available</x:v>
      </x:c>
      <x:c r="P98" s="20" t="str">
        <x:v>Kaempferol\97-39519575-methanolic extract of the nutritiona.pdf</x:v>
      </x:c>
      <x:c r="Q98" s="20" t="str">
        <x:v>not retained - incomplete bibliographic metadata</x:v>
      </x:c>
      <x:c r="R98" s="20" t="str">
        <x:v>Excluded: incomplete bibliographic title requiring verification</x:v>
      </x:c>
      <x:c r="S98" s="20" t="str">
        <x:v>2024</x:v>
      </x:c>
      <x:c r="T98" s="20" t="str">
        <x:v>2024/10/31</x:v>
      </x:c>
      <x:c r="U98" s="20" t="str">
        <x:v>Kaempferol</x:v>
      </x:c>
      <x:c r="V98" s="20" t="str">
        <x:v>柿</x:v>
      </x:c>
      <x:c r="W98" s="20" t="str">
        <x:v>Not established from this row alone</x:v>
      </x:c>
      <x:c r="X98" s="20" t="str">
        <x:v>Dietary, generic botanical, or non-specific natural-product source</x:v>
      </x:c>
      <x:c r="Y98" s="20" t="str">
        <x:v>PMID 39519575; not available</x:v>
      </x:c>
      <x:c r="Z98" s="20" t="str">
        <x:v>Not assessed for final attribution (excluded record)</x:v>
      </x:c>
      <x:c r="AA98" s="20" t="str">
        <x:v>Row-level annotation; deduplicate by PMID for final reference-level counts</x:v>
      </x:c>
    </x:row>
    <x:row r="99">
      <x:c r="A99" s="20" t="str">
        <x:v>Kaempferol</x:v>
      </x:c>
      <x:c r="B99" s="20" t="str">
        <x:v>Flavonoids</x:v>
      </x:c>
      <x:c r="C99" s="20" t="str">
        <x:v>Rosa hybrida（杂交玫瑰）的可食用乙醇提取物（EERH）</x:v>
      </x:c>
      <x:c r="D99" s="20" t="str">
        <x:v>体外细胞模型：
人结直肠癌细胞系 HCT116</x:v>
      </x:c>
      <x:c r="E99" s="20" t="str">
        <x:v>In vitro</x:v>
      </x:c>
      <x:c r="F99" s="20" t="str">
        <x:v>not captured in source extraction</x:v>
      </x:c>
      <x:c r="G99" s="20" t="str">
        <x:v>细胞周期调控通路；
MAPK 通路；
PI3K/AKT 通路；
转录因子通路</x:v>
      </x:c>
      <x:c r="H99" s="20" t="str">
        <x:v>抑制 HCT116 细胞增殖
诱导 G1 期细胞周期阻滞
下调 CDKs 和 cyclins
上调 p27KIP1 表达
抑制 迁移与侵袭能力
抑制 MMP-9 和 MMP-2 酶活性</x:v>
      </x:c>
      <x:c r="I99" s="20" t="str">
        <x:v>not captured</x:v>
      </x:c>
      <x:c r="J99" s="20" t="str">
        <x:v>not reported</x:v>
      </x:c>
      <x:c r="K99" s="20" t="str">
        <x:v>not reported</x:v>
      </x:c>
      <x:c r="L99" s="20" t="str">
        <x:v>Level 3: cell-based mechanistic evidence</x:v>
      </x:c>
      <x:c r="M99" s="20" t="str">
        <x:v>Apoptosis/cell cycle; PI3K/Akt/mTOR/metabolism; NF-kB/STAT3/inflammation; MAPK/JNK/ERK; ROS/ferroptosis; EMT/ECM/metastasis</x:v>
      </x:c>
      <x:c r="N99" s="20" t="str">
        <x:v>40968164</x:v>
      </x:c>
      <x:c r="O99" s="20" t="str">
        <x:v>PMID40968164</x:v>
      </x:c>
      <x:c r="P99" s="20" t="str">
        <x:v>Kaempferol\98-40968164-anti inflammatory and cytotoxic asse source sci rep so 2025.pdf</x:v>
      </x:c>
      <x:c r="Q99" s="20" t="str">
        <x:v>Anti-inflammatory and cytotoxic assessment of flavonoids isolated from Viola odorata flowers with computer-guided docking study.</x:v>
      </x:c>
      <x:c r="R99" s="20" t="str">
        <x:v>Included</x:v>
      </x:c>
      <x:c r="S99" s="20" t="str">
        <x:v>2025</x:v>
      </x:c>
      <x:c r="T99" s="20" t="str">
        <x:v>2025/09/18</x:v>
      </x:c>
      <x:c r="U99" s="20" t="str">
        <x:v>Kaempferol</x:v>
      </x:c>
      <x:c r="V99" s="20" t="str">
        <x:v>Rosa hybrida（杂交玫瑰）的可食用乙醇提取物（EERH）</x:v>
      </x:c>
      <x:c r="W99" s="20" t="str">
        <x:v>Not established from this row alone</x:v>
      </x:c>
      <x:c r="X99" s="20" t="str">
        <x:v>Dietary, generic botanical, or non-specific natural-product source</x:v>
      </x:c>
      <x:c r="Y99" s="20" t="str">
        <x:v>PMID 40968164; PMID40968164</x:v>
      </x:c>
      <x:c r="Z99" s="20" t="str">
        <x:v>Derivative/metabolite contextual evidence</x:v>
      </x:c>
      <x:c r="AA99" s="20" t="str">
        <x:v>Row-level annotation; deduplicate by PMID for final reference-level counts</x:v>
      </x:c>
    </x:row>
    <x:row r="100">
      <x:c r="A100" s="20" t="str">
        <x:v>Kaempferol</x:v>
      </x:c>
      <x:c r="B100" s="20" t="str">
        <x:v>Flavonoids</x:v>
      </x:c>
      <x:c r="C100" s="20" t="str">
        <x:v>Alcea rosea L.（蜀葵）提取物</x:v>
      </x:c>
      <x:c r="D100" s="20" t="str">
        <x:v>体外模型：人结肠癌细胞系 HCT116、HT29、SW480
体内模型：BALB/c 小鼠</x:v>
      </x:c>
      <x:c r="E100" s="20" t="str">
        <x:v>In vitro + in vivo</x:v>
      </x:c>
      <x:c r="F100" s="20" t="str">
        <x:v>not captured in source extraction</x:v>
      </x:c>
      <x:c r="G100" s="20" t="str">
        <x:v>NF-κB 通路
COX-2 通路
PPAR-γ 通路
凋亡通路</x:v>
      </x:c>
      <x:c r="H100" s="20" t="str">
        <x:v>抑制炎症；
诱导癌细胞凋亡；
抑制结肠癌细胞增殖；
缓解体内炎症</x:v>
      </x:c>
      <x:c r="I100" s="20" t="str">
        <x:v>not captured</x:v>
      </x:c>
      <x:c r="J100" s="20" t="str">
        <x:v>not reported</x:v>
      </x:c>
      <x:c r="K100" s="20" t="str">
        <x:v>not reported</x:v>
      </x:c>
      <x:c r="L100" s="20" t="str">
        <x:v>Level 1: animal-validated mechanistic evidence</x:v>
      </x:c>
      <x:c r="M100" s="20" t="str">
        <x:v>Apoptosis/cell cycle; NF-kB/STAT3/inflammation; ROS/ferroptosis</x:v>
      </x:c>
      <x:c r="N100" s="20" t="str">
        <x:v>40703352</x:v>
      </x:c>
      <x:c r="O100" s="20" t="str">
        <x:v>not available</x:v>
      </x:c>
      <x:c r="P100" s="20" t="str">
        <x:v>Kaempferol\99-40703352-anti inflammatory and anticancer pro source front pharmacol so 2025.pdf</x:v>
      </x:c>
      <x:c r="Q100" s="20" t="str">
        <x:v>not retained - incomplete bibliographic metadata</x:v>
      </x:c>
      <x:c r="R100" s="20" t="str">
        <x:v>Excluded: incomplete bibliographic title requiring verification</x:v>
      </x:c>
      <x:c r="S100" s="20" t="str">
        <x:v>2025</x:v>
      </x:c>
      <x:c r="T100" s="20" t="str">
        <x:v>2025/07/09</x:v>
      </x:c>
      <x:c r="U100" s="20" t="str">
        <x:v>Kaempferol</x:v>
      </x:c>
      <x:c r="V100" s="20" t="str">
        <x:v>Alcea rosea L.（蜀葵）提取物</x:v>
      </x:c>
      <x:c r="W100" s="20" t="str">
        <x:v>Not established from this row alone</x:v>
      </x:c>
      <x:c r="X100" s="20" t="str">
        <x:v>Dietary, generic botanical, or non-specific natural-product source</x:v>
      </x:c>
      <x:c r="Y100" s="20" t="str">
        <x:v>PMID 40703352; not available</x:v>
      </x:c>
      <x:c r="Z100" s="20" t="str">
        <x:v>Not assessed for final attribution (excluded record)</x:v>
      </x:c>
      <x:c r="AA100" s="20" t="str">
        <x:v>Row-level annotation; deduplicate by PMID for final reference-level counts</x:v>
      </x:c>
    </x:row>
    <x:row r="101">
      <x:c r="A101" s="20" t="str">
        <x:v>Kaempferol</x:v>
      </x:c>
      <x:c r="B101" s="20" t="str">
        <x:v>Flavonoids</x:v>
      </x:c>
      <x:c r="C101" s="20" t="str">
        <x:v>天然多酚类化合物</x:v>
      </x:c>
      <x:c r="D101" s="20" t="str">
        <x:v>大鼠模型（rats）
- 1,2-二甲基肼</x:v>
      </x:c>
      <x:c r="E101" s="20" t="str">
        <x:v>In vivo</x:v>
      </x:c>
      <x:c r="F101" s="20" t="str">
        <x:v>not captured in source extraction</x:v>
      </x:c>
      <x:c r="G101" s="20" t="str">
        <x:v>↓MDA, NO, PCNA and COX-2，β-catenin
 ↑ Caspase-3 活性</x:v>
      </x:c>
      <x:c r="H101" s="20" t="str">
        <x:v>1. 增强抗氧化作用
2. 增强抗炎作用
3. 增强抗增殖作用
4. 显著促进凋亡
5. 改善结肠组织病理结构（接近正常架构）</x:v>
      </x:c>
      <x:c r="I101" s="20" t="str">
        <x:v>yes</x:v>
      </x:c>
      <x:c r="J101" s="20" t="str">
        <x:v>not reported</x:v>
      </x:c>
      <x:c r="K101" s="20" t="str">
        <x:v>not reported</x:v>
      </x:c>
      <x:c r="L101" s="20" t="str">
        <x:v>Level 2: in vivo evidence</x:v>
      </x:c>
      <x:c r="M101" s="20" t="str">
        <x:v>Apoptosis/cell cycle; Wnt/beta-catenin/stemness; ROS/ferroptosis</x:v>
      </x:c>
      <x:c r="N101" s="20" t="str">
        <x:v>33357777</x:v>
      </x:c>
      <x:c r="O101" s="20" t="str">
        <x:v>PMID33357777</x:v>
      </x:c>
      <x:c r="P101" s="20" t="str">
        <x:v>Kaempferol\100-33357777-probing the chemoprevention potential of the antidep source j pharmacol sci 2021 145 1 29 41.pdf</x:v>
      </x:c>
      <x:c r="Q101" s="20" t="str">
        <x:v>Probing the chemoprevention potential of the antidepressant fluoxetine combined with epigallocatechin gallate or kaempferol in rats with induced early stage colon carcinogenesis.</x:v>
      </x:c>
      <x:c r="R101" s="20" t="str">
        <x:v>Excluded: no CRC-specific model or outcome extracted</x:v>
      </x:c>
      <x:c r="S101" s="20" t="str">
        <x:v>2021</x:v>
      </x:c>
      <x:c r="T101" s="20" t="str">
        <x:v>2021/01/01</x:v>
      </x:c>
      <x:c r="U101" s="20" t="str">
        <x:v>Kaempferol</x:v>
      </x:c>
      <x:c r="V101" s="20" t="str">
        <x:v>天然多酚类化合物</x:v>
      </x:c>
      <x:c r="W101" s="20" t="str">
        <x:v>Not established from this row alone</x:v>
      </x:c>
      <x:c r="X101" s="20" t="str">
        <x:v>Dietary, generic botanical, or non-specific natural-product source</x:v>
      </x:c>
      <x:c r="Y101" s="20" t="str">
        <x:v>PMID 33357777; PMID33357777</x:v>
      </x:c>
      <x:c r="Z101" s="20" t="str">
        <x:v>Not assessed for final attribution (excluded record)</x:v>
      </x:c>
      <x:c r="AA101" s="20" t="str">
        <x:v>Row-level annotation; deduplicate by PMID for final reference-level counts</x:v>
      </x:c>
    </x:row>
    <x:row r="102">
      <x:c r="A102" s="20" t="str">
        <x:v>Formononetin</x:v>
      </x:c>
      <x:c r="B102" s="20" t="str">
        <x:v>Flavonoids</x:v>
      </x:c>
      <x:c r="C102" s="20" t="str">
        <x:v>豆类和三叶草物种，例如红车轴草、鹰嘴豆、大豆、苦参和膜荚黄芪。egumes and clover species such as Trifolium pra-tense L., Cicer arietinum L., Glycine max (L.) Merr., Sophora flavescens
Aiton, and Astragalus membranaceus (Fisch.) Bunge (Singh et al., 2024）</x:v>
      </x:c>
      <x:c r="D102" s="20" t="str">
        <x:v>小鼠巨噬细胞 RAW264.7
小鼠结肠癌细胞 CT-26
人结肠癌细胞 HCT116</x:v>
      </x:c>
      <x:c r="E102" s="20" t="str">
        <x:v>In vitro + in vivo</x:v>
      </x:c>
      <x:c r="F102" s="20" t="str">
        <x:v>not captured in source extraction</x:v>
      </x:c>
      <x:c r="G102" s="20" t="str">
        <x:v>NF-κB/MAPK 通路、mTORC2/Akt 信号通路、脂质合成通路、自噬与凋亡通路、PKA/PDE3B/HSL 脂解通路</x:v>
      </x:c>
      <x:c r="H102" s="20" t="str">
        <x:v>抑制炎症因子；
改善 DSS 诱导结肠炎；
抑制 CT-26 和 HCT116 细胞增殖；
抑制 CAC 肿瘤生长；
促进癌细胞自噬与凋亡；
调节脂质代谢（↓甘油磷脂、脂肪酸合成）；
保护肠道黏膜，减轻病理损伤</x:v>
      </x:c>
      <x:c r="I102" s="20" t="str">
        <x:v>not captured</x:v>
      </x:c>
      <x:c r="J102" s="20" t="str">
        <x:v>not reported</x:v>
      </x:c>
      <x:c r="K102" s="20" t="str">
        <x:v>not reported</x:v>
      </x:c>
      <x:c r="L102" s="20" t="str">
        <x:v>Level 1: animal-validated mechanistic evidence</x:v>
      </x:c>
      <x:c r="M102" s="20" t="str">
        <x:v>Apoptosis/cell cycle; PI3K/Akt/mTOR/metabolism; NF-kB/STAT3/inflammation; MAPK/JNK/ERK; Immune microenvironment</x:v>
      </x:c>
      <x:c r="N102" s="20" t="str">
        <x:v>40318528</x:v>
      </x:c>
      <x:c r="O102" s="20" t="str">
        <x:v>PMID40318528</x:v>
      </x:c>
      <x:c r="P102" s="20" t="str">
        <x:v>Formononetin\101-40318528-formononetin suppresses colitis asso source phytomedicine so 2025.pdf</x:v>
      </x:c>
      <x:c r="Q102" s="20" t="str">
        <x:v>Formononetin suppresses colitis-associated colon cancer by targeting lipid synthesis and mTORC2/Akt signaling.</x:v>
      </x:c>
      <x:c r="R102" s="20" t="str">
        <x:v>Included</x:v>
      </x:c>
      <x:c r="S102" s="20" t="str">
        <x:v>2025</x:v>
      </x:c>
      <x:c r="T102" s="20" t="str">
        <x:v>2025/07/01</x:v>
      </x:c>
      <x:c r="U102" s="20" t="str">
        <x:v>Formononetin</x:v>
      </x:c>
      <x:c r="V102" s="20" t="str">
        <x:v>豆类和三叶草物种，例如红车轴草、鹰嘴豆、大豆、苦参和膜荚黄芪。egumes and clover species such as Trifolium pra-tense L., Cicer arietinum L., Glycine max (L.) Merr., Sophora flavescens
Aiton, and Astragalus membranaceus (Fisch.) Bunge (Singh et al., 2024）</x:v>
      </x:c>
      <x:c r="W102" s="20" t="str">
        <x:v>Potentially traceable—named Chinese medicinal material recorded</x:v>
      </x:c>
      <x:c r="X102" s="20" t="str">
        <x:v>Named medicinal material in source extraction; author verification required</x:v>
      </x:c>
      <x:c r="Y102" s="20" t="str">
        <x:v>PMID 40318528; PMID40318528</x:v>
      </x:c>
      <x:c r="Z102" s="20" t="str">
        <x:v>Purified isolated compound: Formononetin</x:v>
      </x:c>
      <x:c r="AA102" s="20" t="str">
        <x:v>Row-level annotation; deduplicate by PMID for final reference-level counts</x:v>
      </x:c>
    </x:row>
    <x:row r="103">
      <x:c r="A103" s="20" t="str">
        <x:v>Formononetin</x:v>
      </x:c>
      <x:c r="B103" s="20" t="str">
        <x:v>Flavonoids</x:v>
      </x:c>
      <x:c r="C103" s="20" t="str">
        <x:v>多种植物物种</x:v>
      </x:c>
      <x:c r="D103" s="20" t="str">
        <x:v>BABL/C 小鼠用 CT26 细胞构建结直肠癌模型</x:v>
      </x:c>
      <x:c r="E103" s="20" t="str">
        <x:v>In vitro + in vivo</x:v>
      </x:c>
      <x:c r="F103" s="20" t="str">
        <x:v>not captured in source extraction</x:v>
      </x:c>
      <x:c r="G103" s="20" t="str">
        <x:v>Keap1-Nrf2 通路</x:v>
      </x:c>
      <x:c r="H103" s="20" t="str">
        <x:v>抗氧化、抗凋亡、促血管生成、增强肠屏障功能</x:v>
      </x:c>
      <x:c r="I103" s="20" t="str">
        <x:v>not captured</x:v>
      </x:c>
      <x:c r="J103" s="20" t="str">
        <x:v>not reported</x:v>
      </x:c>
      <x:c r="K103" s="20" t="str">
        <x:v>not reported</x:v>
      </x:c>
      <x:c r="L103" s="20" t="str">
        <x:v>Level 1: animal-validated mechanistic evidence</x:v>
      </x:c>
      <x:c r="M103" s="20" t="str">
        <x:v>Apoptosis/cell cycle; ROS/ferroptosis</x:v>
      </x:c>
      <x:c r="N103" s="20" t="str">
        <x:v>40184790</x:v>
      </x:c>
      <x:c r="O103" s="20" t="str">
        <x:v>PMID40184790</x:v>
      </x:c>
      <x:c r="P103" s="20" t="str">
        <x:v>Formononetin\102-40184790-Formononetin prevents intestinal inj Source Biochem Biophys Res Commun SO 2025.pdf</x:v>
      </x:c>
      <x:c r="Q103" s="20" t="str">
        <x:v>Formononetin prevents intestinal injury caused by radiotherapy in colorectal cancer mice via the Keap1-Nrf2 signaling pathway.</x:v>
      </x:c>
      <x:c r="R103" s="20" t="str">
        <x:v>Included</x:v>
      </x:c>
      <x:c r="S103" s="20" t="str">
        <x:v>2025</x:v>
      </x:c>
      <x:c r="T103" s="20" t="str">
        <x:v>2025/05/01</x:v>
      </x:c>
      <x:c r="U103" s="20" t="str">
        <x:v>Formononetin</x:v>
      </x:c>
      <x:c r="V103" s="20" t="str">
        <x:v>多种植物物种</x:v>
      </x:c>
      <x:c r="W103" s="20" t="str">
        <x:v>Not established from supplied source field</x:v>
      </x:c>
      <x:c r="X103" s="20" t="str">
        <x:v>Generic botanical, dietary, computational, or unspecified association</x:v>
      </x:c>
      <x:c r="Y103" s="20" t="str">
        <x:v>PMID 40184790; PMID40184790</x:v>
      </x:c>
      <x:c r="Z103" s="20" t="str">
        <x:v>Purified isolated compound: Formononetin</x:v>
      </x:c>
      <x:c r="AA103" s="20" t="str">
        <x:v>Row-level annotation; deduplicate by PMID for final reference-level counts</x:v>
      </x:c>
    </x:row>
    <x:row r="104">
      <x:c r="A104" s="20" t="str">
        <x:v>Formononetin</x:v>
      </x:c>
      <x:c r="B104" s="20" t="str">
        <x:v>Flavonoids</x:v>
      </x:c>
      <x:c r="C104" s="20" t="str">
        <x:v>黄芪</x:v>
      </x:c>
      <x:c r="D104" s="20" t="str">
        <x:v>PI3K/AKT、MAPK、Wnt/β-catenin、NF-κB、p53 等通路</x:v>
      </x:c>
      <x:c r="E104" s="20" t="str">
        <x:v>Not specified</x:v>
      </x:c>
      <x:c r="F104" s="20" t="str">
        <x:v>not captured in source extraction</x:v>
      </x:c>
      <x:c r="G104" s="20" t="str">
        <x:v>诱导肿瘤细胞凋亡；
抑制癌细胞迁移与侵袭；
阻滞细胞周期；
改善免疫微环境；
增强化疗敏感性</x:v>
      </x:c>
      <x:c r="H104" s="20" t="str">
        <x:v>not reported</x:v>
      </x:c>
      <x:c r="I104" s="20" t="str">
        <x:v>not captured</x:v>
      </x:c>
      <x:c r="J104" s="20" t="str">
        <x:v>not reported</x:v>
      </x:c>
      <x:c r="K104" s="20" t="str">
        <x:v>not reported</x:v>
      </x:c>
      <x:c r="L104" s="20" t="str">
        <x:v>Contextual review-only</x:v>
      </x:c>
      <x:c r="M104" s="20" t="str">
        <x:v>Apoptosis/cell cycle; PI3K/Akt/mTOR/metabolism; Wnt/beta-catenin/stemness; NF-kB/STAT3/inflammation; MAPK/JNK/ERK; EMT/ECM/metastasis; Immune microenvironment</x:v>
      </x:c>
      <x:c r="N104" s="20" t="str">
        <x:v>39880662</x:v>
      </x:c>
      <x:c r="O104" s="20" t="str">
        <x:v>not available</x:v>
      </x:c>
      <x:c r="P104" s="20" t="str">
        <x:v>Formononetin\103-39880662-Advancements in the Research of Astr Source Am J Chin Med SO 2025.pdf</x:v>
      </x:c>
      <x:c r="Q104" s="20" t="str">
        <x:v>not retained - incomplete bibliographic metadata</x:v>
      </x:c>
      <x:c r="R104" s="20" t="str">
        <x:v>Excluded: no CRC-specific model or outcome extracted</x:v>
      </x:c>
      <x:c r="S104" s="20" t="str">
        <x:v>2025</x:v>
      </x:c>
      <x:c r="T104" s="20" t="str">
        <x:v>2025/01/01</x:v>
      </x:c>
      <x:c r="U104" s="20" t="str">
        <x:v>Formononetin</x:v>
      </x:c>
      <x:c r="V104" s="20" t="str">
        <x:v>黄芪</x:v>
      </x:c>
      <x:c r="W104" s="20" t="str">
        <x:v>Potentially traceable—named Chinese medicinal material recorded</x:v>
      </x:c>
      <x:c r="X104" s="20" t="str">
        <x:v>Named medicinal material in source extraction; author verification required</x:v>
      </x:c>
      <x:c r="Y104" s="20" t="str">
        <x:v>PMID 39880662; not available</x:v>
      </x:c>
      <x:c r="Z104" s="20" t="str">
        <x:v>Not assessed for final attribution (excluded record)</x:v>
      </x:c>
      <x:c r="AA104" s="20" t="str">
        <x:v>Row-level annotation; deduplicate by PMID for final reference-level counts</x:v>
      </x:c>
    </x:row>
    <x:row r="105">
      <x:c r="A105" s="20" t="str">
        <x:v>Formononetin</x:v>
      </x:c>
      <x:c r="B105" s="20" t="str">
        <x:v>Flavonoids</x:v>
      </x:c>
      <x:c r="C105" s="20" t="str">
        <x:v>黄芪</x:v>
      </x:c>
      <x:c r="D105" s="20" t="str">
        <x:v>not reported</x:v>
      </x:c>
      <x:c r="E105" s="20" t="str">
        <x:v>Not specified</x:v>
      </x:c>
      <x:c r="F105" s="20" t="str">
        <x:v>not captured in source extraction</x:v>
      </x:c>
      <x:c r="G105" s="20" t="str">
        <x:v>not reported</x:v>
      </x:c>
      <x:c r="H105" s="20" t="str">
        <x:v>not reported</x:v>
      </x:c>
      <x:c r="I105" s="20" t="str">
        <x:v>not captured</x:v>
      </x:c>
      <x:c r="J105" s="20" t="str">
        <x:v>not reported</x:v>
      </x:c>
      <x:c r="K105" s="20" t="str">
        <x:v>not reported</x:v>
      </x:c>
      <x:c r="L105" s="20" t="str">
        <x:v>Contextual review-only</x:v>
      </x:c>
      <x:c r="M105" s="20" t="str">
        <x:v>not assigned</x:v>
      </x:c>
      <x:c r="N105" s="20" t="str">
        <x:v>39413615</x:v>
      </x:c>
      <x:c r="O105" s="20" t="str">
        <x:v>PMID39413615</x:v>
      </x:c>
      <x:c r="P105" s="20" t="str">
        <x:v>Astragaloside IV\292-39413615-pharmacological potential of natural source biomed pharmacother so 2024.pdf</x:v>
      </x:c>
      <x:c r="Q105" s="20" t="str">
        <x:v>Pharmacological potential of natural medicine Astragali Radix in treating intestinal diseases.</x:v>
      </x:c>
      <x:c r="R105" s="20" t="str">
        <x:v>Excluded: no CRC-specific model or outcome extracted</x:v>
      </x:c>
      <x:c r="S105" s="20" t="str">
        <x:v>2024</x:v>
      </x:c>
      <x:c r="T105" s="20" t="str">
        <x:v>2024/11/01</x:v>
      </x:c>
      <x:c r="U105" s="20" t="str">
        <x:v>Formononetin</x:v>
      </x:c>
      <x:c r="V105" s="20" t="str">
        <x:v>黄芪</x:v>
      </x:c>
      <x:c r="W105" s="20" t="str">
        <x:v>Potentially traceable—named Chinese medicinal material recorded</x:v>
      </x:c>
      <x:c r="X105" s="20" t="str">
        <x:v>Named medicinal material in source extraction; author verification required</x:v>
      </x:c>
      <x:c r="Y105" s="20" t="str">
        <x:v>PMID 39413615; PMID39413615</x:v>
      </x:c>
      <x:c r="Z105" s="20" t="str">
        <x:v>Not assessed for final attribution (excluded record)</x:v>
      </x:c>
      <x:c r="AA105" s="20" t="str">
        <x:v>Row-level annotation; deduplicate by PMID for final reference-level counts</x:v>
      </x:c>
    </x:row>
    <x:row r="106">
      <x:c r="A106" s="20" t="str">
        <x:v>Formononetin</x:v>
      </x:c>
      <x:c r="B106" s="20" t="str">
        <x:v>Flavonoids</x:v>
      </x:c>
      <x:c r="C106" s="20" t="str">
        <x:v>wenzi jiedu decoction</x:v>
      </x:c>
      <x:c r="D106" s="20" t="str">
        <x:v>分子对接和动物实验</x:v>
      </x:c>
      <x:c r="E106" s="20" t="str">
        <x:v>In vivo</x:v>
      </x:c>
      <x:c r="F106" s="20" t="str">
        <x:v>not captured in source extraction</x:v>
      </x:c>
      <x:c r="G106" s="20" t="str">
        <x:v>趋化因子信号通路和细胞凋亡</x:v>
      </x:c>
      <x:c r="H106" s="20" t="str">
        <x:v>细胞凋亡、免疫调节</x:v>
      </x:c>
      <x:c r="I106" s="20" t="str">
        <x:v>yes</x:v>
      </x:c>
      <x:c r="J106" s="20" t="str">
        <x:v>not reported</x:v>
      </x:c>
      <x:c r="K106" s="20" t="str">
        <x:v>not reported</x:v>
      </x:c>
      <x:c r="L106" s="20" t="str">
        <x:v>Contextual mixture/formulation evidence</x:v>
      </x:c>
      <x:c r="M106" s="20" t="str">
        <x:v>Apoptosis/cell cycle; PI3K/Akt/mTOR/metabolism; Immune microenvironment</x:v>
      </x:c>
      <x:c r="N106" s="20" t="str">
        <x:v>39731415</x:v>
      </x:c>
      <x:c r="O106" s="20" t="str">
        <x:v>PMID39731415</x:v>
      </x:c>
      <x:c r="P106" s="20" t="str">
        <x:v>Formononetin\105-39731415-Integrating UPLC MS MS Bioinformatic Source Phytochem Anal SO 2024 (1).pdf</x:v>
      </x:c>
      <x:c r="Q106" s="20" t="str">
        <x:v>Integrating UPLC-MS/MS Bioinformatics and In Vivo Experiments Validation to Elucidate the Mechanism of Wenzi Jiedu Decoction in Suppressing Colorectal Cancer.</x:v>
      </x:c>
      <x:c r="R106" s="20" t="str">
        <x:v>Included</x:v>
      </x:c>
      <x:c r="S106" s="20" t="str">
        <x:v>2025</x:v>
      </x:c>
      <x:c r="T106" s="20" t="str">
        <x:v>2025/06/01</x:v>
      </x:c>
      <x:c r="U106" s="20" t="str">
        <x:v>Formononetin</x:v>
      </x:c>
      <x:c r="V106" s="20" t="str">
        <x:v>wenzi jiedu decoction</x:v>
      </x:c>
      <x:c r="W106" s="20" t="str">
        <x:v>Contextual association only</x:v>
      </x:c>
      <x:c r="X106" s="20" t="str">
        <x:v>Compound annotated within a TCM formula or preparation</x:v>
      </x:c>
      <x:c r="Y106" s="20" t="str">
        <x:v>PMID 39731415; PMID39731415</x:v>
      </x:c>
      <x:c r="Z106" s="20" t="str">
        <x:v>Extract/formula/decoction contextual evidence</x:v>
      </x:c>
      <x:c r="AA106" s="20" t="str">
        <x:v>Row-level annotation; deduplicate by PMID for final reference-level counts</x:v>
      </x:c>
    </x:row>
    <x:row r="107">
      <x:c r="A107" s="20" t="str">
        <x:v>Formononetin</x:v>
      </x:c>
      <x:c r="B107" s="20" t="str">
        <x:v>Flavonoids</x:v>
      </x:c>
      <x:c r="C107" s="20" t="str">
        <x:v>黄芪</x:v>
      </x:c>
      <x:c r="D107" s="20" t="str">
        <x:v>转移性结肠癌小鼠模型 Western blot</x:v>
      </x:c>
      <x:c r="E107" s="20" t="str">
        <x:v>In vivo</x:v>
      </x:c>
      <x:c r="F107" s="20" t="str">
        <x:v>not captured in source extraction</x:v>
      </x:c>
      <x:c r="G107" s="20" t="str">
        <x:v>DBD 通过上调 Bax、Caspase3 和 Cleaved caspase3 的表达以及下调 Bcl2 的表达来抑制 MCC</x:v>
      </x:c>
      <x:c r="H107" s="20" t="str">
        <x:v>not reported</x:v>
      </x:c>
      <x:c r="I107" s="20" t="str">
        <x:v>yes</x:v>
      </x:c>
      <x:c r="J107" s="20" t="str">
        <x:v>not reported</x:v>
      </x:c>
      <x:c r="K107" s="20" t="str">
        <x:v>not reported</x:v>
      </x:c>
      <x:c r="L107" s="20" t="str">
        <x:v>Contextual mixture/formulation evidence</x:v>
      </x:c>
      <x:c r="M107" s="20" t="str">
        <x:v>Apoptosis/cell cycle; EMT/ECM/metastasis</x:v>
      </x:c>
      <x:c r="N107" s="20" t="str">
        <x:v>33658761</x:v>
      </x:c>
      <x:c r="O107" s="20" t="str">
        <x:v>PMID33658761</x:v>
      </x:c>
      <x:c r="P107" s="20" t="str">
        <x:v>Formononetin\106-33658761-Danggui Buxue Decoction in the Treat Source Drug Des Devel Ther SO 2021 15 705 720.pdf</x:v>
      </x:c>
      <x:c r="Q107" s="20" t="str">
        <x:v>Danggui Buxue Decoction in the Treatment of Metastatic Colon Cancer: Network Pharmacology Analysis and Experimental Validation.</x:v>
      </x:c>
      <x:c r="R107" s="20" t="str">
        <x:v>Included</x:v>
      </x:c>
      <x:c r="S107" s="20" t="str">
        <x:v>2021</x:v>
      </x:c>
      <x:c r="T107" s="20" t="str">
        <x:v>2021/02/24</x:v>
      </x:c>
      <x:c r="U107" s="20" t="str">
        <x:v>Formononetin</x:v>
      </x:c>
      <x:c r="V107" s="20" t="str">
        <x:v>黄芪</x:v>
      </x:c>
      <x:c r="W107" s="20" t="str">
        <x:v>Potentially traceable—named Chinese medicinal material recorded</x:v>
      </x:c>
      <x:c r="X107" s="20" t="str">
        <x:v>Named medicinal material in source extraction; author verification required</x:v>
      </x:c>
      <x:c r="Y107" s="20" t="str">
        <x:v>PMID 33658761; PMID33658761</x:v>
      </x:c>
      <x:c r="Z107" s="20" t="str">
        <x:v>Extract/formula/decoction contextual evidence</x:v>
      </x:c>
      <x:c r="AA107" s="20" t="str">
        <x:v>Row-level annotation; deduplicate by PMID for final reference-level counts</x:v>
      </x:c>
    </x:row>
    <x:row r="108">
      <x:c r="A108" s="20" t="str">
        <x:v>Stigmasterol</x:v>
      </x:c>
      <x:c r="B108" s="20" t="str">
        <x:v>Phytosterols</x:v>
      </x:c>
      <x:c r="C108" s="20" t="str">
        <x:v>Ardisia gigantifolia Stapf.走马胎/大叶紫金牛</x:v>
      </x:c>
      <x:c r="D108" s="20" t="str">
        <x:v>HCT116 细胞（人结直肠癌细胞）
SW620 细胞（人结直肠癌细胞，转移来源）</x:v>
      </x:c>
      <x:c r="E108" s="20" t="str">
        <x:v>In vitro</x:v>
      </x:c>
      <x:c r="F108" s="20" t="str">
        <x:v>not captured in source extraction</x:v>
      </x:c>
      <x:c r="G108" s="20" t="str">
        <x:v>MAPK 信号通路</x:v>
      </x:c>
      <x:c r="H108" s="20" t="str">
        <x:v>抑制 CRC 细胞增殖</x:v>
      </x:c>
      <x:c r="I108" s="20" t="str">
        <x:v>not captured</x:v>
      </x:c>
      <x:c r="J108" s="20" t="str">
        <x:v>not reported</x:v>
      </x:c>
      <x:c r="K108" s="20" t="str">
        <x:v>not reported</x:v>
      </x:c>
      <x:c r="L108" s="20" t="str">
        <x:v>Level 3: cell-based mechanistic evidence</x:v>
      </x:c>
      <x:c r="M108" s="20" t="str">
        <x:v>MAPK/JNK/ERK; EMT/ECM/metastasis</x:v>
      </x:c>
      <x:c r="N108" s="20" t="str">
        <x:v>36624500</x:v>
      </x:c>
      <x:c r="O108" s="20" t="str">
        <x:v>PMID36624500</x:v>
      </x:c>
      <x:c r="P108" s="20" t="str">
        <x:v>Stigmasterol\36624500-Anti colorectal cancer of Ardisia gi Source BMC Complement Med Ther SO 2023.pdf</x:v>
      </x:c>
      <x:c r="Q108" s="20" t="str">
        <x:v>Anti-colorectal cancer of Ardisia gigantifolia Stapf. and targets prediction via network pharmacology and molecular docking study.</x:v>
      </x:c>
      <x:c r="R108" s="20" t="str">
        <x:v>Included</x:v>
      </x:c>
      <x:c r="S108" s="20" t="str">
        <x:v>2023</x:v>
      </x:c>
      <x:c r="T108" s="20" t="str">
        <x:v>2023/01/09</x:v>
      </x:c>
      <x:c r="U108" s="20" t="str">
        <x:v>Stigmasterol</x:v>
      </x:c>
      <x:c r="V108" s="20" t="str">
        <x:v>Ardisia gigantifolia Stapf.走马胎/大叶紫金牛</x:v>
      </x:c>
      <x:c r="W108" s="20" t="str">
        <x:v>Not established from supplied source field</x:v>
      </x:c>
      <x:c r="X108" s="20" t="str">
        <x:v>Generic botanical, dietary, computational, or unspecified association</x:v>
      </x:c>
      <x:c r="Y108" s="20" t="str">
        <x:v>PMID 36624500; PMID36624500</x:v>
      </x:c>
      <x:c r="Z108" s="20" t="str">
        <x:v>Network pharmacology/in silico evidence</x:v>
      </x:c>
      <x:c r="AA108" s="20" t="str">
        <x:v>Row-level annotation; deduplicate by PMID for final reference-level counts</x:v>
      </x:c>
    </x:row>
    <x:row r="109">
      <x:c r="A109" s="20" t="str">
        <x:v>Stigmasterol</x:v>
      </x:c>
      <x:c r="B109" s="20" t="str">
        <x:v>Phytosterols</x:v>
      </x:c>
      <x:c r="C109" s="20" t="str">
        <x:v>薏苡附子败酱散</x:v>
      </x:c>
      <x:c r="D109" s="20" t="str">
        <x:v>网络药理学和分子对接</x:v>
      </x:c>
      <x:c r="E109" s="20" t="str">
        <x:v>Network/in silico</x:v>
      </x:c>
      <x:c r="F109" s="20" t="str">
        <x:v>not captured in source extraction</x:v>
      </x:c>
      <x:c r="G109" s="20" t="str">
        <x:v>PI3K-Akt 信号通路、TNF 信号通路和 IL-17 信号通路</x:v>
      </x:c>
      <x:c r="H109" s="20" t="str">
        <x:v>控制细胞凋亡、增殖以及蛋白质和酶的结合来减缓结直肠癌的进展。</x:v>
      </x:c>
      <x:c r="I109" s="20" t="str">
        <x:v>not captured</x:v>
      </x:c>
      <x:c r="J109" s="20" t="str">
        <x:v>not reported</x:v>
      </x:c>
      <x:c r="K109" s="20" t="str">
        <x:v>not reported</x:v>
      </x:c>
      <x:c r="L109" s="20" t="str">
        <x:v>Contextual mixture/formulation evidence</x:v>
      </x:c>
      <x:c r="M109" s="20" t="str">
        <x:v>Apoptosis/cell cycle; PI3K/Akt/mTOR/metabolism; MAPK/JNK/ERK</x:v>
      </x:c>
      <x:c r="N109" s="20" t="str">
        <x:v>36735641</x:v>
      </x:c>
      <x:c r="O109" s="20" t="str">
        <x:v>PMID36735641</x:v>
      </x:c>
      <x:c r="P109" s="20" t="str">
        <x:v>beta-sitosterol\211-36735641-exploring the mechanism of action of source biotechnol genet eng rev so 2023.pdf</x:v>
      </x:c>
      <x:c r="Q109" s="20" t="str">
        <x:v>Exploring the mechanism of action of Yiyi Fuzi Baijiang powder in colorectal cancer based on network pharmacology and molecular docking studies.</x:v>
      </x:c>
      <x:c r="R109" s="20" t="str">
        <x:v>Included</x:v>
      </x:c>
      <x:c r="S109" s="20" t="str">
        <x:v>2023</x:v>
      </x:c>
      <x:c r="T109" s="20" t="str">
        <x:v>2023/10/01</x:v>
      </x:c>
      <x:c r="U109" s="20" t="str">
        <x:v>Stigmasterol</x:v>
      </x:c>
      <x:c r="V109" s="20" t="str">
        <x:v>薏苡附子败酱散</x:v>
      </x:c>
      <x:c r="W109" s="20" t="str">
        <x:v>Contextual association only</x:v>
      </x:c>
      <x:c r="X109" s="20" t="str">
        <x:v>Compound annotated within a TCM formula or preparation</x:v>
      </x:c>
      <x:c r="Y109" s="20" t="str">
        <x:v>PMID 36735641; PMID36735641</x:v>
      </x:c>
      <x:c r="Z109" s="20" t="str">
        <x:v>Extract/formula/decoction contextual evidence</x:v>
      </x:c>
      <x:c r="AA109" s="20" t="str">
        <x:v>Row-level annotation; deduplicate by PMID for final reference-level counts</x:v>
      </x:c>
    </x:row>
    <x:row r="110">
      <x:c r="A110" s="20" t="str">
        <x:v>Stigmasterol</x:v>
      </x:c>
      <x:c r="B110" s="20" t="str">
        <x:v>Phytosterols</x:v>
      </x:c>
      <x:c r="C110" s="20" t="str">
        <x:v>小柴胡汤</x:v>
      </x:c>
      <x:c r="D110" s="20" t="str">
        <x:v>分子对接</x:v>
      </x:c>
      <x:c r="E110" s="20" t="str">
        <x:v>Network/in silico</x:v>
      </x:c>
      <x:c r="F110" s="20" t="str">
        <x:v>not captured in source extraction</x:v>
      </x:c>
      <x:c r="G110" s="20" t="str">
        <x:v>IL-17, TNF, Toll-like receptor, and NF-kappa B signaling pathways</x:v>
      </x:c>
      <x:c r="H110" s="20" t="str">
        <x:v>not reported</x:v>
      </x:c>
      <x:c r="I110" s="20" t="str">
        <x:v>not captured</x:v>
      </x:c>
      <x:c r="J110" s="20" t="str">
        <x:v>not reported</x:v>
      </x:c>
      <x:c r="K110" s="20" t="str">
        <x:v>not reported</x:v>
      </x:c>
      <x:c r="L110" s="20" t="str">
        <x:v>Level 4: in silico-only</x:v>
      </x:c>
      <x:c r="M110" s="20" t="str">
        <x:v>NF-kB/STAT3/inflammation; EMT/ECM/metastasis</x:v>
      </x:c>
      <x:c r="N110" s="20" t="str">
        <x:v>34125845</x:v>
      </x:c>
      <x:c r="O110" s="20" t="str">
        <x:v>PMID34125845</x:v>
      </x:c>
      <x:c r="P110" s="20" t="str">
        <x:v>Kaempferol\72-34125845-Network pharmacology and molecular docking study o Source PLoS One 2021 Jun 14 16 6 e0252508.PDF</x:v>
      </x:c>
      <x:c r="Q110" s="20" t="str">
        <x:v>Network pharmacology and molecular docking study on the mechanism of colorectal cancer treatment using Xiao-Chai-Hu-Tang.</x:v>
      </x:c>
      <x:c r="R110" s="20" t="str">
        <x:v>Included</x:v>
      </x:c>
      <x:c r="S110" s="20" t="str">
        <x:v>2021</x:v>
      </x:c>
      <x:c r="T110" s="20" t="str">
        <x:v>2021/06/14</x:v>
      </x:c>
      <x:c r="U110" s="20" t="str">
        <x:v>Stigmasterol</x:v>
      </x:c>
      <x:c r="V110" s="20" t="str">
        <x:v>小柴胡汤</x:v>
      </x:c>
      <x:c r="W110" s="20" t="str">
        <x:v>Contextual association only</x:v>
      </x:c>
      <x:c r="X110" s="20" t="str">
        <x:v>Compound annotated within a TCM formula or preparation</x:v>
      </x:c>
      <x:c r="Y110" s="20" t="str">
        <x:v>PMID 34125845; PMID34125845</x:v>
      </x:c>
      <x:c r="Z110" s="20" t="str">
        <x:v>Network pharmacology/in silico evidence</x:v>
      </x:c>
      <x:c r="AA110" s="20" t="str">
        <x:v>Row-level annotation; deduplicate by PMID for final reference-level counts</x:v>
      </x:c>
    </x:row>
    <x:row r="111">
      <x:c r="A111" s="20" t="str">
        <x:v>Stigmasterol</x:v>
      </x:c>
      <x:c r="B111" s="20" t="str">
        <x:v>Phytosterols</x:v>
      </x:c>
      <x:c r="C111" s="20" t="str">
        <x:v>山慈菇Shancigu</x:v>
      </x:c>
      <x:c r="D111" s="20" t="str">
        <x:v>人结直肠癌细胞系：HCT116 和 Caco-2
、CRC 类器官</x:v>
      </x:c>
      <x:c r="E111" s="20" t="str">
        <x:v>In vitro</x:v>
      </x:c>
      <x:c r="F111" s="20" t="str">
        <x:v>not captured in source extraction</x:v>
      </x:c>
      <x:c r="G111" s="20" t="str">
        <x:v>JUN 相关通路、ITGB1 介导的细胞黏附与迁移通路</x:v>
      </x:c>
      <x:c r="H111" s="20" t="str">
        <x:v>抑制 CRC 细胞 活力、增殖、迁移、侵袭；
诱导细胞凋亡；
降低 CRC 类器官 活力与 ATP 活性；
在动物模型中 减少肿瘤重量与体积；
抑制 Ki67 表达</x:v>
      </x:c>
      <x:c r="I111" s="20" t="str">
        <x:v>not captured</x:v>
      </x:c>
      <x:c r="J111" s="20" t="str">
        <x:v>not reported</x:v>
      </x:c>
      <x:c r="K111" s="20" t="str">
        <x:v>not reported</x:v>
      </x:c>
      <x:c r="L111" s="20" t="str">
        <x:v>Level 3: cell-based mechanistic evidence</x:v>
      </x:c>
      <x:c r="M111" s="20" t="str">
        <x:v>Apoptosis/cell cycle; EMT/ECM/metastasis</x:v>
      </x:c>
      <x:c r="N111" s="20" t="str">
        <x:v>40603959</x:v>
      </x:c>
      <x:c r="O111" s="20" t="str">
        <x:v>PMID40603959</x:v>
      </x:c>
      <x:c r="P111" s="20" t="str">
        <x:v>Stigmasterol\110-40603959-The mechanism of Shancigu and its mo SSO 2025.pdf</x:v>
      </x:c>
      <x:c r="Q111" s="20" t="str">
        <x:v>The mechanism of Shancigu and its monomer in the development of colorectal cancer based on network pharmacology.</x:v>
      </x:c>
      <x:c r="R111" s="20" t="str">
        <x:v>Included</x:v>
      </x:c>
      <x:c r="S111" s="20" t="str">
        <x:v>2025</x:v>
      </x:c>
      <x:c r="T111" s="20" t="str">
        <x:v>2025/07/02</x:v>
      </x:c>
      <x:c r="U111" s="20" t="str">
        <x:v>Stigmasterol</x:v>
      </x:c>
      <x:c r="V111" s="20" t="str">
        <x:v>山慈菇Shancigu</x:v>
      </x:c>
      <x:c r="W111" s="20" t="str">
        <x:v>Not established from supplied source field</x:v>
      </x:c>
      <x:c r="X111" s="20" t="str">
        <x:v>Generic botanical, dietary, computational, or unspecified association</x:v>
      </x:c>
      <x:c r="Y111" s="20" t="str">
        <x:v>PMID 40603959; PMID40603959</x:v>
      </x:c>
      <x:c r="Z111" s="20" t="str">
        <x:v>Extract/formula/decoction contextual evidence</x:v>
      </x:c>
      <x:c r="AA111" s="20" t="str">
        <x:v>Row-level annotation; deduplicate by PMID for final reference-level counts</x:v>
      </x:c>
    </x:row>
    <x:row r="112">
      <x:c r="A112" s="20" t="str">
        <x:v>Stigmasterol</x:v>
      </x:c>
      <x:c r="B112" s="20" t="str">
        <x:v>Phytosterols</x:v>
      </x:c>
      <x:c r="C112" s="20" t="str">
        <x:v>扶正解毒汤</x:v>
      </x:c>
      <x:c r="D112" s="20" t="str">
        <x:v>纯计算性网络药理学分析</x:v>
      </x:c>
      <x:c r="E112" s="20" t="str">
        <x:v>Network/in silico</x:v>
      </x:c>
      <x:c r="F112" s="20" t="str">
        <x:v>not captured in source extraction</x:v>
      </x:c>
      <x:c r="G112" s="20" t="str">
        <x:v>PI3K-Akt 信号通路
FoxO 信号通路
HIF-1 信号通路
T 细胞受体信号通路
ErbB 信号通路</x:v>
      </x:c>
      <x:c r="H112" s="20" t="str">
        <x:v>调节细胞增殖
诱导细胞凋亡
抑制血管生成
调控炎症反应
调节免疫功能</x:v>
      </x:c>
      <x:c r="I112" s="20" t="str">
        <x:v>not captured</x:v>
      </x:c>
      <x:c r="J112" s="20" t="str">
        <x:v>not reported</x:v>
      </x:c>
      <x:c r="K112" s="20" t="str">
        <x:v>not reported</x:v>
      </x:c>
      <x:c r="L112" s="20" t="str">
        <x:v>Contextual mixture/formulation evidence</x:v>
      </x:c>
      <x:c r="M112" s="20" t="str">
        <x:v>Apoptosis/cell cycle; PI3K/Akt/mTOR/metabolism; NF-kB/STAT3/inflammation; MAPK/JNK/ERK; EMT/ECM/metastasis; Immune microenvironment</x:v>
      </x:c>
      <x:c r="N112" s="20" t="str">
        <x:v>33688358</x:v>
      </x:c>
      <x:c r="O112" s="20" t="str">
        <x:v>PMID33688358</x:v>
      </x:c>
      <x:c r="P112" s="20" t="str">
        <x:v>Kaempferol\89-33688358-network pharmacology inte source evid based complement alternat med 2021 feb 20 2021 4652492.pdf</x:v>
      </x:c>
      <x:c r="Q112" s="20" t="str">
        <x:v>Network Pharmacology Interpretation of Fuzheng-Jiedu Decoction against Colorectal Cancer.</x:v>
      </x:c>
      <x:c r="R112" s="20" t="str">
        <x:v>Included</x:v>
      </x:c>
      <x:c r="S112" s="20" t="str">
        <x:v>2021</x:v>
      </x:c>
      <x:c r="T112" s="20" t="str">
        <x:v>2021/02/20</x:v>
      </x:c>
      <x:c r="U112" s="20" t="str">
        <x:v>Stigmasterol</x:v>
      </x:c>
      <x:c r="V112" s="20" t="str">
        <x:v>扶正解毒汤</x:v>
      </x:c>
      <x:c r="W112" s="20" t="str">
        <x:v>Contextual association only</x:v>
      </x:c>
      <x:c r="X112" s="20" t="str">
        <x:v>Compound annotated within a TCM formula or preparation</x:v>
      </x:c>
      <x:c r="Y112" s="20" t="str">
        <x:v>PMID 33688358; PMID33688358</x:v>
      </x:c>
      <x:c r="Z112" s="20" t="str">
        <x:v>Extract/formula/decoction contextual evidence</x:v>
      </x:c>
      <x:c r="AA112" s="20" t="str">
        <x:v>Row-level annotation; deduplicate by PMID for final reference-level counts</x:v>
      </x:c>
    </x:row>
    <x:row r="113">
      <x:c r="A113" s="20" t="str">
        <x:v>Stigmasterol</x:v>
      </x:c>
      <x:c r="B113" s="20" t="str">
        <x:v>Phytosterols</x:v>
      </x:c>
      <x:c r="C113" s="20" t="str">
        <x:v>wenzi jiedu decoction</x:v>
      </x:c>
      <x:c r="D113" s="20" t="str">
        <x:v>分子对接和动物实验</x:v>
      </x:c>
      <x:c r="E113" s="20" t="str">
        <x:v>In vivo</x:v>
      </x:c>
      <x:c r="F113" s="20" t="str">
        <x:v>not captured in source extraction</x:v>
      </x:c>
      <x:c r="G113" s="20" t="str">
        <x:v>趋化因子信号通路和细胞凋亡</x:v>
      </x:c>
      <x:c r="H113" s="20" t="str">
        <x:v>细胞凋亡、免疫调节</x:v>
      </x:c>
      <x:c r="I113" s="20" t="str">
        <x:v>yes</x:v>
      </x:c>
      <x:c r="J113" s="20" t="str">
        <x:v>not reported</x:v>
      </x:c>
      <x:c r="K113" s="20" t="str">
        <x:v>not reported</x:v>
      </x:c>
      <x:c r="L113" s="20" t="str">
        <x:v>Contextual mixture/formulation evidence</x:v>
      </x:c>
      <x:c r="M113" s="20" t="str">
        <x:v>Apoptosis/cell cycle; PI3K/Akt/mTOR/metabolism; Immune microenvironment</x:v>
      </x:c>
      <x:c r="N113" s="20" t="str">
        <x:v>39731415</x:v>
      </x:c>
      <x:c r="O113" s="20" t="str">
        <x:v>PMID39731415</x:v>
      </x:c>
      <x:c r="P113" s="20" t="str">
        <x:v>Formononetin\105-39731415-Integrating UPLC MS MS Bioinformatic Source Phytochem Anal SO 2024 (1).pdf</x:v>
      </x:c>
      <x:c r="Q113" s="20" t="str">
        <x:v>Integrating UPLC-MS/MS Bioinformatics and In Vivo Experiments Validation to Elucidate the Mechanism of Wenzi Jiedu Decoction in Suppressing Colorectal Cancer.</x:v>
      </x:c>
      <x:c r="R113" s="20" t="str">
        <x:v>Included</x:v>
      </x:c>
      <x:c r="S113" s="20" t="str">
        <x:v>2025</x:v>
      </x:c>
      <x:c r="T113" s="20" t="str">
        <x:v>2025/06/01</x:v>
      </x:c>
      <x:c r="U113" s="20" t="str">
        <x:v>Stigmasterol</x:v>
      </x:c>
      <x:c r="V113" s="20" t="str">
        <x:v>wenzi jiedu decoction</x:v>
      </x:c>
      <x:c r="W113" s="20" t="str">
        <x:v>Contextual association only</x:v>
      </x:c>
      <x:c r="X113" s="20" t="str">
        <x:v>Compound annotated within a TCM formula or preparation</x:v>
      </x:c>
      <x:c r="Y113" s="20" t="str">
        <x:v>PMID 39731415; PMID39731415</x:v>
      </x:c>
      <x:c r="Z113" s="20" t="str">
        <x:v>Extract/formula/decoction contextual evidence</x:v>
      </x:c>
      <x:c r="AA113" s="20" t="str">
        <x:v>Row-level annotation; deduplicate by PMID for final reference-level counts</x:v>
      </x:c>
    </x:row>
    <x:row r="114">
      <x:c r="A114" s="20" t="str">
        <x:v>Stigmasterol</x:v>
      </x:c>
      <x:c r="B114" s="20" t="str">
        <x:v>Phytosterols</x:v>
      </x:c>
      <x:c r="C114" s="20" t="str">
        <x:v>犀黄丸</x:v>
      </x:c>
      <x:c r="D114" s="20" t="str">
        <x:v>纯计算性网络药理学分析</x:v>
      </x:c>
      <x:c r="E114" s="20" t="str">
        <x:v>Network/in silico</x:v>
      </x:c>
      <x:c r="F114" s="20" t="str">
        <x:v>not captured in source extraction</x:v>
      </x:c>
      <x:c r="G114" s="20" t="str">
        <x:v>预测PI3K/Akt signaling pathway；
TNF signaling pathway；
HIF-1 signaling pathway；
Colorectal cancer pathway</x:v>
      </x:c>
      <x:c r="H114" s="20" t="str">
        <x:v>抑制肿瘤增殖
抑制肿瘤血管生成
抑制炎症反应
减轻氧化应激</x:v>
      </x:c>
      <x:c r="I114" s="20" t="str">
        <x:v>not captured</x:v>
      </x:c>
      <x:c r="J114" s="20" t="str">
        <x:v>not reported</x:v>
      </x:c>
      <x:c r="K114" s="20" t="str">
        <x:v>not reported</x:v>
      </x:c>
      <x:c r="L114" s="20" t="str">
        <x:v>Level 4: in silico-only</x:v>
      </x:c>
      <x:c r="M114" s="20" t="str">
        <x:v>PI3K/Akt/mTOR/metabolism; NF-kB/STAT3/inflammation; ROS/ferroptosis</x:v>
      </x:c>
      <x:c r="N114" s="20" t="str">
        <x:v>38415445</x:v>
      </x:c>
      <x:c r="O114" s="20" t="str">
        <x:v>PMID38415445</x:v>
      </x:c>
      <x:c r="P114" s="20" t="str">
        <x:v>ellagic acid\263-38415445-network pharmacology analysis on the source curr pharm des so 2024 feb 19.pdf</x:v>
      </x:c>
      <x:c r="Q114" s="20" t="str">
        <x:v>Network Pharmacology Analysis on the Mechanism of Xihuangwan in Treating Rectal Cancer and Radiation Enteritis.</x:v>
      </x:c>
      <x:c r="R114" s="20" t="str">
        <x:v>Included</x:v>
      </x:c>
      <x:c r="S114" s="20" t="str">
        <x:v>2024</x:v>
      </x:c>
      <x:c r="T114" s="20" t="str">
        <x:v>2024/01/01</x:v>
      </x:c>
      <x:c r="U114" s="20" t="str">
        <x:v>Stigmasterol</x:v>
      </x:c>
      <x:c r="V114" s="20" t="str">
        <x:v>犀黄丸</x:v>
      </x:c>
      <x:c r="W114" s="20" t="str">
        <x:v>Not established from supplied source field</x:v>
      </x:c>
      <x:c r="X114" s="20" t="str">
        <x:v>Generic botanical, dietary, computational, or unspecified association</x:v>
      </x:c>
      <x:c r="Y114" s="20" t="str">
        <x:v>PMID 38415445; PMID38415445</x:v>
      </x:c>
      <x:c r="Z114" s="20" t="str">
        <x:v>Network pharmacology/in silico evidence</x:v>
      </x:c>
      <x:c r="AA114" s="20" t="str">
        <x:v>Row-level annotation; deduplicate by PMID for final reference-level counts</x:v>
      </x:c>
    </x:row>
    <x:row r="115">
      <x:c r="A115" s="20" t="str">
        <x:v>Stigmasterol</x:v>
      </x:c>
      <x:c r="B115" s="20" t="str">
        <x:v>Phytosterols</x:v>
      </x:c>
      <x:c r="C115" s="20" t="str">
        <x:v>加味黄连干姜汤</x:v>
      </x:c>
      <x:c r="D115" s="20" t="str">
        <x:v>纯计算研究</x:v>
      </x:c>
      <x:c r="E115" s="20" t="str">
        <x:v>Network/in silico</x:v>
      </x:c>
      <x:c r="F115" s="20" t="str">
        <x:v>not captured in source extraction</x:v>
      </x:c>
      <x:c r="G115" s="20" t="str">
        <x:v>PI3K-Akt signaling pathway and MAPK signaling pathway</x:v>
      </x:c>
      <x:c r="H115" s="20" t="str">
        <x:v>not reported</x:v>
      </x:c>
      <x:c r="I115" s="20" t="str">
        <x:v>not captured</x:v>
      </x:c>
      <x:c r="J115" s="20" t="str">
        <x:v>not reported</x:v>
      </x:c>
      <x:c r="K115" s="20" t="str">
        <x:v>not reported</x:v>
      </x:c>
      <x:c r="L115" s="20" t="str">
        <x:v>Contextual mixture/formulation evidence</x:v>
      </x:c>
      <x:c r="M115" s="20" t="str">
        <x:v>PI3K/Akt/mTOR/metabolism; MAPK/JNK/ERK</x:v>
      </x:c>
      <x:c r="N115" s="20" t="str">
        <x:v>35899228</x:v>
      </x:c>
      <x:c r="O115" s="20" t="str">
        <x:v>PMID35899228</x:v>
      </x:c>
      <x:c r="P115" s="20" t="str">
        <x:v>Stigmasterol\114-35899228-Network Pharmacology and Molecular D Source Evid Based Complement Alternat Med SO 2022.pdf</x:v>
      </x:c>
      <x:c r="Q115" s="20" t="str">
        <x:v>Network Pharmacology and Molecular Docking on the Molecular Mechanism of Jiawei-Huang Lian-Gan Jiang Decoction in the Treatment of Colorectal Adenomas.</x:v>
      </x:c>
      <x:c r="R115" s="20" t="str">
        <x:v>Included</x:v>
      </x:c>
      <x:c r="S115" s="20" t="str">
        <x:v>2022</x:v>
      </x:c>
      <x:c r="T115" s="20" t="str">
        <x:v>2022/07/18</x:v>
      </x:c>
      <x:c r="U115" s="20" t="str">
        <x:v>Stigmasterol</x:v>
      </x:c>
      <x:c r="V115" s="20" t="str">
        <x:v>加味黄连干姜汤</x:v>
      </x:c>
      <x:c r="W115" s="20" t="str">
        <x:v>Potentially traceable—named Chinese medicinal material recorded</x:v>
      </x:c>
      <x:c r="X115" s="20" t="str">
        <x:v>Named medicinal material in source extraction; author verification required</x:v>
      </x:c>
      <x:c r="Y115" s="20" t="str">
        <x:v>PMID 35899228; PMID35899228</x:v>
      </x:c>
      <x:c r="Z115" s="20" t="str">
        <x:v>Extract/formula/decoction contextual evidence</x:v>
      </x:c>
      <x:c r="AA115" s="20" t="str">
        <x:v>Row-level annotation; deduplicate by PMID for final reference-level counts</x:v>
      </x:c>
    </x:row>
    <x:row r="116">
      <x:c r="A116" s="20" t="str">
        <x:v>Stigmasterol</x:v>
      </x:c>
      <x:c r="B116" s="20" t="str">
        <x:v>Phytosterols</x:v>
      </x:c>
      <x:c r="C116" s="20" t="str">
        <x:v>当归</x:v>
      </x:c>
      <x:c r="D116" s="20" t="str">
        <x:v>转移性结肠癌小鼠模型 Western blot</x:v>
      </x:c>
      <x:c r="E116" s="20" t="str">
        <x:v>In vivo</x:v>
      </x:c>
      <x:c r="F116" s="20" t="str">
        <x:v>not captured in source extraction</x:v>
      </x:c>
      <x:c r="G116" s="20" t="str">
        <x:v>DBD 通过上调 Bax、Caspase3 和 Cleaved caspase3 的表达以及下调 Bcl2 的表达来抑制 MCC</x:v>
      </x:c>
      <x:c r="H116" s="20" t="str">
        <x:v>not reported</x:v>
      </x:c>
      <x:c r="I116" s="20" t="str">
        <x:v>yes</x:v>
      </x:c>
      <x:c r="J116" s="20" t="str">
        <x:v>not reported</x:v>
      </x:c>
      <x:c r="K116" s="20" t="str">
        <x:v>not reported</x:v>
      </x:c>
      <x:c r="L116" s="20" t="str">
        <x:v>Contextual mixture/formulation evidence</x:v>
      </x:c>
      <x:c r="M116" s="20" t="str">
        <x:v>Apoptosis/cell cycle; EMT/ECM/metastasis</x:v>
      </x:c>
      <x:c r="N116" s="20" t="str">
        <x:v>33658761</x:v>
      </x:c>
      <x:c r="O116" s="20" t="str">
        <x:v>PMID33658761</x:v>
      </x:c>
      <x:c r="P116" s="20" t="str">
        <x:v>Formononetin\106-33658761-Danggui Buxue Decoction in the Treat Source Drug Des Devel Ther SO 2021 15 705 720.pdf</x:v>
      </x:c>
      <x:c r="Q116" s="20" t="str">
        <x:v>Danggui Buxue Decoction in the Treatment of Metastatic Colon Cancer: Network Pharmacology Analysis and Experimental Validation.</x:v>
      </x:c>
      <x:c r="R116" s="20" t="str">
        <x:v>Included</x:v>
      </x:c>
      <x:c r="S116" s="20" t="str">
        <x:v>2021</x:v>
      </x:c>
      <x:c r="T116" s="20" t="str">
        <x:v>2021/02/24</x:v>
      </x:c>
      <x:c r="U116" s="20" t="str">
        <x:v>Stigmasterol</x:v>
      </x:c>
      <x:c r="V116" s="20" t="str">
        <x:v>当归</x:v>
      </x:c>
      <x:c r="W116" s="20" t="str">
        <x:v>Not established from supplied source field</x:v>
      </x:c>
      <x:c r="X116" s="20" t="str">
        <x:v>Generic botanical, dietary, computational, or unspecified association</x:v>
      </x:c>
      <x:c r="Y116" s="20" t="str">
        <x:v>PMID 33658761; PMID33658761</x:v>
      </x:c>
      <x:c r="Z116" s="20" t="str">
        <x:v>Extract/formula/decoction contextual evidence</x:v>
      </x:c>
      <x:c r="AA116" s="20" t="str">
        <x:v>Row-level annotation; deduplicate by PMID for final reference-level counts</x:v>
      </x:c>
    </x:row>
    <x:row r="117">
      <x:c r="A117" s="20" t="str">
        <x:v>Stigmasterol</x:v>
      </x:c>
      <x:c r="B117" s="20" t="str">
        <x:v>Phytosterols</x:v>
      </x:c>
      <x:c r="C117" s="20" t="str">
        <x:v>Ircinia mutans Wilson (Irciniidae)</x:v>
      </x:c>
      <x:c r="D117" s="20" t="str">
        <x:v>人白血病细胞 MOLT-4
人乳腺癌细胞 MCF-7
人结肠癌细胞 HT-29</x:v>
      </x:c>
      <x:c r="E117" s="20" t="str">
        <x:v>In vitro</x:v>
      </x:c>
      <x:c r="F117" s="20" t="str">
        <x:v>not captured in source extraction</x:v>
      </x:c>
      <x:c r="G117" s="20" t="str">
        <x:v>not reported</x:v>
      </x:c>
      <x:c r="H117" s="20" t="str">
        <x:v>抗增殖</x:v>
      </x:c>
      <x:c r="I117" s="20" t="str">
        <x:v>not captured</x:v>
      </x:c>
      <x:c r="J117" s="20" t="str">
        <x:v>not reported</x:v>
      </x:c>
      <x:c r="K117" s="20" t="str">
        <x:v>not reported</x:v>
      </x:c>
      <x:c r="L117" s="20" t="str">
        <x:v>Level 3: cell-based mechanistic evidence</x:v>
      </x:c>
      <x:c r="M117" s="20" t="str">
        <x:v>not assigned</x:v>
      </x:c>
      <x:c r="N117" s="20" t="str">
        <x:v>34043935</x:v>
      </x:c>
      <x:c r="O117" s="20" t="str">
        <x:v>not available</x:v>
      </x:c>
      <x:c r="P117" s="20" t="str">
        <x:v>Stigmasterol\116-34043935-Cytotoxic furanosesquiterpenoids and steroids from Ircini.pdf</x:v>
      </x:c>
      <x:c r="Q117" s="20" t="str">
        <x:v>not retained - incomplete bibliographic metadata</x:v>
      </x:c>
      <x:c r="R117" s="20" t="str">
        <x:v>Excluded: incomplete bibliographic title requiring verification</x:v>
      </x:c>
      <x:c r="S117" s="20" t="str">
        <x:v>2021</x:v>
      </x:c>
      <x:c r="T117" s="20" t="str">
        <x:v>2021/12/01</x:v>
      </x:c>
      <x:c r="U117" s="20" t="str">
        <x:v>Stigmasterol</x:v>
      </x:c>
      <x:c r="V117" s="20" t="str">
        <x:v>Ircinia mutans Wilson (Irciniidae)</x:v>
      </x:c>
      <x:c r="W117" s="20" t="str">
        <x:v>Not established from supplied source field</x:v>
      </x:c>
      <x:c r="X117" s="20" t="str">
        <x:v>Generic botanical, dietary, computational, or unspecified association</x:v>
      </x:c>
      <x:c r="Y117" s="20" t="str">
        <x:v>PMID 34043935; not available</x:v>
      </x:c>
      <x:c r="Z117" s="20" t="str">
        <x:v>Not assessed for final attribution (excluded record)</x:v>
      </x:c>
      <x:c r="AA117" s="20" t="str">
        <x:v>Row-level annotation; deduplicate by PMID for final reference-level counts</x:v>
      </x:c>
    </x:row>
    <x:row r="118">
      <x:c r="A118" s="20" t="str">
        <x:v>Stigmasterol</x:v>
      </x:c>
      <x:c r="B118" s="20" t="str">
        <x:v>Phytosterols</x:v>
      </x:c>
      <x:c r="C118" s="20" t="str">
        <x:v>苏丹香Dobera glabra Forssk</x:v>
      </x:c>
      <x:c r="D118" s="20" t="str">
        <x:v>胞：HCT-116
肝癌细胞：HepG-2
前列腺癌细胞：PC-3
正常肾上皮细胞：Vero 细胞</x:v>
      </x:c>
      <x:c r="E118" s="20" t="str">
        <x:v>In vitro</x:v>
      </x:c>
      <x:c r="F118" s="20" t="str">
        <x:v>not captured in source extraction</x:v>
      </x:c>
      <x:c r="G118" s="20" t="str">
        <x:v>not reported</x:v>
      </x:c>
      <x:c r="H118" s="20" t="str">
        <x:v>not reported</x:v>
      </x:c>
      <x:c r="I118" s="20" t="str">
        <x:v>not captured</x:v>
      </x:c>
      <x:c r="J118" s="20" t="str">
        <x:v>not reported</x:v>
      </x:c>
      <x:c r="K118" s="20" t="str">
        <x:v>not reported</x:v>
      </x:c>
      <x:c r="L118" s="20" t="str">
        <x:v>Excluded: insufficient extractable evidence</x:v>
      </x:c>
      <x:c r="M118" s="20" t="str">
        <x:v>not assigned</x:v>
      </x:c>
      <x:c r="N118" s="20" t="str">
        <x:v>33430053</x:v>
      </x:c>
      <x:c r="O118" s="20" t="str">
        <x:v>not available</x:v>
      </x:c>
      <x:c r="P118" s="20" t="str">
        <x:v>Stigmasterol\117-33430053-Sterols and Triterpenes from Dobera Source Plants Basel SO 2021.pdf</x:v>
      </x:c>
      <x:c r="Q118" s="20" t="str">
        <x:v>not retained - incomplete bibliographic metadata</x:v>
      </x:c>
      <x:c r="R118" s="20" t="str">
        <x:v>Excluded: incomplete bibliographic title requiring verification</x:v>
      </x:c>
      <x:c r="S118" s="20" t="str">
        <x:v>2021</x:v>
      </x:c>
      <x:c r="T118" s="20" t="str">
        <x:v>2021/01/08</x:v>
      </x:c>
      <x:c r="U118" s="20" t="str">
        <x:v>Stigmasterol</x:v>
      </x:c>
      <x:c r="V118" s="20" t="str">
        <x:v>苏丹香Dobera glabra Forssk</x:v>
      </x:c>
      <x:c r="W118" s="20" t="str">
        <x:v>Not established from supplied source field</x:v>
      </x:c>
      <x:c r="X118" s="20" t="str">
        <x:v>Generic botanical, dietary, computational, or unspecified association</x:v>
      </x:c>
      <x:c r="Y118" s="20" t="str">
        <x:v>PMID 33430053; not available</x:v>
      </x:c>
      <x:c r="Z118" s="20" t="str">
        <x:v>Not assessed for final attribution (excluded record)</x:v>
      </x:c>
      <x:c r="AA118" s="20" t="str">
        <x:v>Row-level annotation; deduplicate by PMID for final reference-level counts</x:v>
      </x:c>
    </x:row>
    <x:row r="119">
      <x:c r="A119" s="20" t="str">
        <x:v>Stigmasterol</x:v>
      </x:c>
      <x:c r="B119" s="20" t="str">
        <x:v>Phytosterols</x:v>
      </x:c>
      <x:c r="C119" s="20" t="str">
        <x:v>止痢蚤草/皱叶香青 或 卷瓣香青Pulicaria crispa</x:v>
      </x:c>
      <x:c r="D119" s="20" t="str">
        <x:v>HCT116 人结肠癌细胞系；
HepG2、Hep-2 癌细胞及 口腔上皮正常细胞</x:v>
      </x:c>
      <x:c r="E119" s="20" t="str">
        <x:v>In vitro</x:v>
      </x:c>
      <x:c r="F119" s="20" t="str">
        <x:v>not captured in source extraction</x:v>
      </x:c>
      <x:c r="G119" s="20" t="str">
        <x:v>p53, caspase-8, caspase-9… Bcl2 downregulated</x:v>
      </x:c>
      <x:c r="H119" s="20" t="str">
        <x:v>G2/M 期细胞周期阻滞；
显著诱导凋亡；
上调促凋亡基因；
下调抗凋亡基因；
激活凋亡执行蛋白；
引发氧化应激；
抑制糖酵解代谢；
调节炎症因子</x:v>
      </x:c>
      <x:c r="I119" s="20" t="str">
        <x:v>not captured</x:v>
      </x:c>
      <x:c r="J119" s="20" t="str">
        <x:v>not reported</x:v>
      </x:c>
      <x:c r="K119" s="20" t="str">
        <x:v>not reported</x:v>
      </x:c>
      <x:c r="L119" s="20" t="str">
        <x:v>Level 3: cell-based mechanistic evidence</x:v>
      </x:c>
      <x:c r="M119" s="20" t="str">
        <x:v>Apoptosis/cell cycle; PI3K/Akt/mTOR/metabolism; NF-kB/STAT3/inflammation; ROS/ferroptosis</x:v>
      </x:c>
      <x:c r="N119" s="20" t="str">
        <x:v>40672135</x:v>
      </x:c>
      <x:c r="O119" s="20" t="str">
        <x:v>not available</x:v>
      </x:c>
      <x:c r="P119" s="20" t="str">
        <x:v>Stigmasterol\118-40672135-Molecular mechanisms underlying the Source 3 Biotech SO 2025.pdf</x:v>
      </x:c>
      <x:c r="Q119" s="20" t="str">
        <x:v>not retained - incomplete bibliographic metadata</x:v>
      </x:c>
      <x:c r="R119" s="20" t="str">
        <x:v>Excluded: incomplete bibliographic title requiring verification</x:v>
      </x:c>
      <x:c r="S119" s="20" t="str">
        <x:v>2025</x:v>
      </x:c>
      <x:c r="T119" s="20" t="str">
        <x:v>2025/08/01</x:v>
      </x:c>
      <x:c r="U119" s="20" t="str">
        <x:v>Stigmasterol</x:v>
      </x:c>
      <x:c r="V119" s="20" t="str">
        <x:v>止痢蚤草/皱叶香青 或 卷瓣香青Pulicaria crispa</x:v>
      </x:c>
      <x:c r="W119" s="20" t="str">
        <x:v>Not established from supplied source field</x:v>
      </x:c>
      <x:c r="X119" s="20" t="str">
        <x:v>Generic botanical, dietary, computational, or unspecified association</x:v>
      </x:c>
      <x:c r="Y119" s="20" t="str">
        <x:v>PMID 40672135; not available</x:v>
      </x:c>
      <x:c r="Z119" s="20" t="str">
        <x:v>Not assessed for final attribution (excluded record)</x:v>
      </x:c>
      <x:c r="AA119" s="20" t="str">
        <x:v>Row-level annotation; deduplicate by PMID for final reference-level counts</x:v>
      </x:c>
    </x:row>
    <x:row r="120">
      <x:c r="A120" s="20" t="str">
        <x:v>Hederagenin</x:v>
      </x:c>
      <x:c r="B120" s="20" t="str">
        <x:v>Triterpenoids</x:v>
      </x:c>
      <x:c r="C120" s="20" t="str">
        <x:v>黄芪、三棱、莪术（这个翻译的问题要问一下老师）</x:v>
      </x:c>
      <x:c r="D120" s="20" t="str">
        <x:v>分子对接和动物实验</x:v>
      </x:c>
      <x:c r="E120" s="20" t="str">
        <x:v>In vivo</x:v>
      </x:c>
      <x:c r="F120" s="20" t="str">
        <x:v>not captured in source extraction</x:v>
      </x:c>
      <x:c r="G120" s="20" t="str">
        <x:v>趋化因子信号通路和细胞凋亡</x:v>
      </x:c>
      <x:c r="H120" s="20" t="str">
        <x:v>细胞凋亡、免疫调节</x:v>
      </x:c>
      <x:c r="I120" s="20" t="str">
        <x:v>yes</x:v>
      </x:c>
      <x:c r="J120" s="20" t="str">
        <x:v>not reported</x:v>
      </x:c>
      <x:c r="K120" s="20" t="str">
        <x:v>not reported</x:v>
      </x:c>
      <x:c r="L120" s="20" t="str">
        <x:v>Contextual mixture/formulation evidence</x:v>
      </x:c>
      <x:c r="M120" s="20" t="str">
        <x:v>Apoptosis/cell cycle; PI3K/Akt/mTOR/metabolism; Immune microenvironment</x:v>
      </x:c>
      <x:c r="N120" s="20" t="str">
        <x:v>39731415</x:v>
      </x:c>
      <x:c r="O120" s="20" t="str">
        <x:v>PMID39731415</x:v>
      </x:c>
      <x:c r="P120" s="20" t="str">
        <x:v>Formononetin\105-39731415-Integrating UPLC MS MS Bioinformatic Source Phytochem Anal SO 2024 (1).pdf</x:v>
      </x:c>
      <x:c r="Q120" s="20" t="str">
        <x:v>Integrating UPLC-MS/MS Bioinformatics and In Vivo Experiments Validation to Elucidate the Mechanism of Wenzi Jiedu Decoction in Suppressing Colorectal Cancer.</x:v>
      </x:c>
      <x:c r="R120" s="20" t="str">
        <x:v>Included</x:v>
      </x:c>
      <x:c r="S120" s="20" t="str">
        <x:v>2025</x:v>
      </x:c>
      <x:c r="T120" s="20" t="str">
        <x:v>2025/06/01</x:v>
      </x:c>
      <x:c r="U120" s="20" t="str">
        <x:v>Hederagenin</x:v>
      </x:c>
      <x:c r="V120" s="20" t="str">
        <x:v>黄芪、三棱、莪术（这个翻译的问题要问一下老师）</x:v>
      </x:c>
      <x:c r="W120" s="20" t="str">
        <x:v>Potentially traceable—named Chinese medicinal material recorded</x:v>
      </x:c>
      <x:c r="X120" s="20" t="str">
        <x:v>Named medicinal material in source extraction; author verification required</x:v>
      </x:c>
      <x:c r="Y120" s="20" t="str">
        <x:v>PMID 39731415; PMID39731415</x:v>
      </x:c>
      <x:c r="Z120" s="20" t="str">
        <x:v>Extract/formula/decoction contextual evidence</x:v>
      </x:c>
      <x:c r="AA120" s="20" t="str">
        <x:v>Row-level annotation; deduplicate by PMID for final reference-level counts</x:v>
      </x:c>
    </x:row>
    <x:row r="121">
      <x:c r="A121" s="20" t="str">
        <x:v>Hederagenin</x:v>
      </x:c>
      <x:c r="B121" s="20" t="str">
        <x:v>Triterpenoids</x:v>
      </x:c>
      <x:c r="C121" s="20" t="str">
        <x:v>黄芪</x:v>
      </x:c>
      <x:c r="D121" s="20" t="str">
        <x:v>转移性结肠癌小鼠模型 Western blot</x:v>
      </x:c>
      <x:c r="E121" s="20" t="str">
        <x:v>In vivo</x:v>
      </x:c>
      <x:c r="F121" s="20" t="str">
        <x:v>not captured in source extraction</x:v>
      </x:c>
      <x:c r="G121" s="20" t="str">
        <x:v>DBD 通过上调 Bax、Caspase3 和 Cleaved caspase3 的表达以及下调 Bcl2 的表达来抑制 MCC</x:v>
      </x:c>
      <x:c r="H121" s="20" t="str">
        <x:v>not reported</x:v>
      </x:c>
      <x:c r="I121" s="20" t="str">
        <x:v>yes</x:v>
      </x:c>
      <x:c r="J121" s="20" t="str">
        <x:v>not reported</x:v>
      </x:c>
      <x:c r="K121" s="20" t="str">
        <x:v>not reported</x:v>
      </x:c>
      <x:c r="L121" s="20" t="str">
        <x:v>Contextual mixture/formulation evidence</x:v>
      </x:c>
      <x:c r="M121" s="20" t="str">
        <x:v>Apoptosis/cell cycle; EMT/ECM/metastasis</x:v>
      </x:c>
      <x:c r="N121" s="20" t="str">
        <x:v>33658761</x:v>
      </x:c>
      <x:c r="O121" s="20" t="str">
        <x:v>PMID33658761</x:v>
      </x:c>
      <x:c r="P121" s="20" t="str">
        <x:v>Formononetin\106-33658761-Danggui Buxue Decoction in the Treat Source Drug Des Devel Ther SO 2021 15 705 720.pdf</x:v>
      </x:c>
      <x:c r="Q121" s="20" t="str">
        <x:v>Danggui Buxue Decoction in the Treatment of Metastatic Colon Cancer: Network Pharmacology Analysis and Experimental Validation.</x:v>
      </x:c>
      <x:c r="R121" s="20" t="str">
        <x:v>Included</x:v>
      </x:c>
      <x:c r="S121" s="20" t="str">
        <x:v>2021</x:v>
      </x:c>
      <x:c r="T121" s="20" t="str">
        <x:v>2021/02/24</x:v>
      </x:c>
      <x:c r="U121" s="20" t="str">
        <x:v>Hederagenin</x:v>
      </x:c>
      <x:c r="V121" s="20" t="str">
        <x:v>黄芪</x:v>
      </x:c>
      <x:c r="W121" s="20" t="str">
        <x:v>Potentially traceable—named Chinese medicinal material recorded</x:v>
      </x:c>
      <x:c r="X121" s="20" t="str">
        <x:v>Named medicinal material in source extraction; author verification required</x:v>
      </x:c>
      <x:c r="Y121" s="20" t="str">
        <x:v>PMID 33658761; PMID33658761</x:v>
      </x:c>
      <x:c r="Z121" s="20" t="str">
        <x:v>Extract/formula/decoction contextual evidence</x:v>
      </x:c>
      <x:c r="AA121" s="20" t="str">
        <x:v>Row-level annotation; deduplicate by PMID for final reference-level counts</x:v>
      </x:c>
    </x:row>
    <x:row r="122">
      <x:c r="A122" s="20" t="str">
        <x:v>Tagitinin C</x:v>
      </x:c>
      <x:c r="B122" s="20" t="str">
        <x:v>Sesquiterpene lactones</x:v>
      </x:c>
      <x:c r="C122" s="20" t="str">
        <x:v>Tithonia diversifolia肿柄菊</x:v>
      </x:c>
      <x:c r="D122" s="20" t="str">
        <x:v>结直肠癌细胞系 HCT116</x:v>
      </x:c>
      <x:c r="E122" s="20" t="str">
        <x:v>In vitro</x:v>
      </x:c>
      <x:c r="F122" s="20" t="str">
        <x:v>not captured in source extraction</x:v>
      </x:c>
      <x:c r="G122" s="20" t="str">
        <x:v>PERK–Nrf2–HO-1 信号通路</x:v>
      </x:c>
      <x:c r="H122" s="20" t="str">
        <x:v>诱导铁死亡；
抑制 CRC 细胞增殖；
抑制细胞迁移；
造成氧化应激微环境；
耗竭谷胱甘肽；
促进脂质过氧化；
与 erastin 协同抗肿瘤</x:v>
      </x:c>
      <x:c r="I122" s="20" t="str">
        <x:v>not captured</x:v>
      </x:c>
      <x:c r="J122" s="20" t="str">
        <x:v>not reported</x:v>
      </x:c>
      <x:c r="K122" s="20" t="str">
        <x:v>not reported</x:v>
      </x:c>
      <x:c r="L122" s="20" t="str">
        <x:v>Level 3: cell-based mechanistic evidence</x:v>
      </x:c>
      <x:c r="M122" s="20" t="str">
        <x:v>MAPK/JNK/ERK; ROS/ferroptosis; EMT/ECM/metastasis</x:v>
      </x:c>
      <x:c r="N122" s="20" t="str">
        <x:v>34345202</x:v>
      </x:c>
      <x:c r="O122" s="20" t="str">
        <x:v>PMID34345202</x:v>
      </x:c>
      <x:c r="P122" s="20" t="str">
        <x:v>Tagitinin C\121-34345202-agitinin C induces ferroptosis through PERK-N.pdf</x:v>
      </x:c>
      <x:c r="Q122" s="20" t="str">
        <x:v>Tagitinin C induces ferroptosis through PERK-Nrf2-HO-1 signaling pathway in colorectal cancer cells.</x:v>
      </x:c>
      <x:c r="R122" s="20" t="str">
        <x:v>Included</x:v>
      </x:c>
      <x:c r="S122" s="20" t="str">
        <x:v>2021</x:v>
      </x:c>
      <x:c r="T122" s="20" t="str">
        <x:v>2021/06/26</x:v>
      </x:c>
      <x:c r="U122" s="20" t="str">
        <x:v>Tagitinin C</x:v>
      </x:c>
      <x:c r="V122" s="20" t="str">
        <x:v>Tithonia diversifolia肿柄菊</x:v>
      </x:c>
      <x:c r="W122" s="20" t="str">
        <x:v>Not established from supplied source field</x:v>
      </x:c>
      <x:c r="X122" s="20" t="str">
        <x:v>Generic botanical, dietary, computational, or unspecified association</x:v>
      </x:c>
      <x:c r="Y122" s="20" t="str">
        <x:v>PMID 34345202; PMID34345202</x:v>
      </x:c>
      <x:c r="Z122" s="20" t="str">
        <x:v>Purified isolated compound: Tagitinin C</x:v>
      </x:c>
      <x:c r="AA122" s="20" t="str">
        <x:v>Row-level annotation; deduplicate by PMID for final reference-level counts</x:v>
      </x:c>
    </x:row>
    <x:row r="123">
      <x:c r="A123" s="20" t="str">
        <x:v>Isovitexin</x:v>
      </x:c>
      <x:c r="B123" s="20" t="str">
        <x:v>Flavonoids</x:v>
      </x:c>
      <x:c r="C123" s="20" t="str">
        <x:v>葫芦科果实或木豆、小麦、三角果和竹叶的果实</x:v>
      </x:c>
      <x:c r="D123" s="20" t="str">
        <x:v>人结肠上皮细胞 （HCEC） 和癌细胞</x:v>
      </x:c>
      <x:c r="E123" s="20" t="str">
        <x:v>In vitro</x:v>
      </x:c>
      <x:c r="F123" s="20" t="str">
        <x:v>not captured in source extraction</x:v>
      </x:c>
      <x:c r="G123" s="20" t="str">
        <x:v>↓p-PI3K, ↓p-Akt, ↓p-mTOR, ↓Bcl-2,↑Bax, ↑caspase-3</x:v>
      </x:c>
      <x:c r="H123" s="20" t="str">
        <x:v>抑制癌细胞迁移、侵袭和 EMT</x:v>
      </x:c>
      <x:c r="I123" s="20" t="str">
        <x:v>not captured</x:v>
      </x:c>
      <x:c r="J123" s="20" t="str">
        <x:v>not reported</x:v>
      </x:c>
      <x:c r="K123" s="20" t="str">
        <x:v>not reported</x:v>
      </x:c>
      <x:c r="L123" s="20" t="str">
        <x:v>Level 3: cell-based mechanistic evidence</x:v>
      </x:c>
      <x:c r="M123" s="20" t="str">
        <x:v>Apoptosis/cell cycle; PI3K/Akt/mTOR/metabolism; EMT/ECM/metastasis</x:v>
      </x:c>
      <x:c r="N123" s="20" t="str">
        <x:v>34219464</x:v>
      </x:c>
      <x:c r="O123" s="20" t="str">
        <x:v>PMID34219464</x:v>
      </x:c>
      <x:c r="P123" s="20" t="str">
        <x:v>Isovitexin\122-34219464-Isovitexin attenuates tumor growth in human c Source Biochem Cell Biol 2021 Dec 99 6 741 749.PDF</x:v>
      </x:c>
      <x:c r="Q123" s="20" t="str">
        <x:v>Isovitexin attenuates tumor growth in human colon cancer cells through the modulation of apoptosis and epithelial-mesenchymal transition via PI3K/Akt/mTOR signaling pathway.</x:v>
      </x:c>
      <x:c r="R123" s="20" t="str">
        <x:v>Included</x:v>
      </x:c>
      <x:c r="S123" s="20" t="str">
        <x:v>2021</x:v>
      </x:c>
      <x:c r="T123" s="20" t="str">
        <x:v>2021/12/01</x:v>
      </x:c>
      <x:c r="U123" s="20" t="str">
        <x:v>Isovitexin</x:v>
      </x:c>
      <x:c r="V123" s="20" t="str">
        <x:v>葫芦科果实或木豆、小麦、三角果和竹叶的果实</x:v>
      </x:c>
      <x:c r="W123" s="20" t="str">
        <x:v>Not established from supplied source field</x:v>
      </x:c>
      <x:c r="X123" s="20" t="str">
        <x:v>Generic botanical, dietary, computational, or unspecified association</x:v>
      </x:c>
      <x:c r="Y123" s="20" t="str">
        <x:v>PMID 34219464; PMID34219464</x:v>
      </x:c>
      <x:c r="Z123" s="20" t="str">
        <x:v>Purified isolated compound: Isovitexin</x:v>
      </x:c>
      <x:c r="AA123" s="20" t="str">
        <x:v>Row-level annotation; deduplicate by PMID for final reference-level counts</x:v>
      </x:c>
    </x:row>
    <x:row r="124">
      <x:c r="A124" s="20" t="str">
        <x:v>Isovitexin</x:v>
      </x:c>
      <x:c r="B124" s="20" t="str">
        <x:v>Flavonoids</x:v>
      </x:c>
      <x:c r="C124" s="20" t="str">
        <x:v>败酱草</x:v>
      </x:c>
      <x:c r="D124" s="20" t="str">
        <x:v>网络药理学分析以及体外和体内实验</x:v>
      </x:c>
      <x:c r="E124" s="20" t="str">
        <x:v>In vitro + in vivo</x:v>
      </x:c>
      <x:c r="F124" s="20" t="str">
        <x:v>not captured in source extraction</x:v>
      </x:c>
      <x:c r="G124" s="20" t="str">
        <x:v>p53 和 HIF-1 信号通路</x:v>
      </x:c>
      <x:c r="H124" s="20" t="str">
        <x:v>促进细胞凋亡并抑制细胞增殖</x:v>
      </x:c>
      <x:c r="I124" s="20" t="str">
        <x:v>not captured</x:v>
      </x:c>
      <x:c r="J124" s="20" t="str">
        <x:v>not reported</x:v>
      </x:c>
      <x:c r="K124" s="20" t="str">
        <x:v>not reported</x:v>
      </x:c>
      <x:c r="L124" s="20" t="str">
        <x:v>Level 1: animal-validated mechanistic evidence</x:v>
      </x:c>
      <x:c r="M124" s="20" t="str">
        <x:v>Apoptosis/cell cycle</x:v>
      </x:c>
      <x:c r="N124" s="20" t="str">
        <x:v>37939611</x:v>
      </x:c>
      <x:c r="O124" s="20" t="str">
        <x:v>PMID37939611</x:v>
      </x:c>
      <x:c r="P124" s="20" t="str">
        <x:v>Isovitexin\123-37939611-Herba Patriniae and its component Is Source Biomed Pharmacother SO 2023.pdf</x:v>
      </x:c>
      <x:c r="Q124" s="20" t="str">
        <x:v>Herba Patriniae and its component Isovitexin show anti-colorectal cancer effects by inducing apoptosis and cell-cycle arrest via p53 activation.</x:v>
      </x:c>
      <x:c r="R124" s="20" t="str">
        <x:v>Included</x:v>
      </x:c>
      <x:c r="S124" s="20" t="str">
        <x:v>2023</x:v>
      </x:c>
      <x:c r="T124" s="20" t="str">
        <x:v>2023/12/01</x:v>
      </x:c>
      <x:c r="U124" s="20" t="str">
        <x:v>Isovitexin</x:v>
      </x:c>
      <x:c r="V124" s="20" t="str">
        <x:v>败酱草</x:v>
      </x:c>
      <x:c r="W124" s="20" t="str">
        <x:v>Not established from supplied source field</x:v>
      </x:c>
      <x:c r="X124" s="20" t="str">
        <x:v>Generic botanical, dietary, computational, or unspecified association</x:v>
      </x:c>
      <x:c r="Y124" s="20" t="str">
        <x:v>PMID 37939611; PMID37939611</x:v>
      </x:c>
      <x:c r="Z124" s="20" t="str">
        <x:v>Purified isolated compound: Isovitexin</x:v>
      </x:c>
      <x:c r="AA124" s="20" t="str">
        <x:v>Row-level annotation; deduplicate by PMID for final reference-level counts</x:v>
      </x:c>
    </x:row>
    <x:row r="125">
      <x:c r="A125" s="20" t="str">
        <x:v>Isovitexin</x:v>
      </x:c>
      <x:c r="B125" s="20" t="str">
        <x:v>Flavonoids</x:v>
      </x:c>
      <x:c r="C125" s="20" t="str">
        <x:v>中国橄榄叶、果、核（烹饪模拟提取）</x:v>
      </x:c>
      <x:c r="D125" s="20" t="str">
        <x:v>RAW264.7巨噬细胞、HCT116结肠癌细胞、分子对接</x:v>
      </x:c>
      <x:c r="E125" s="20" t="str">
        <x:v>In vitro</x:v>
      </x:c>
      <x:c r="F125" s="20" t="str">
        <x:v>not captured in source extraction</x:v>
      </x:c>
      <x:c r="G125" s="20" t="str">
        <x:v>抑制糖酵解通路中的PFK酶</x:v>
      </x:c>
      <x:c r="H125" s="20" t="str">
        <x:v>NO产生减少、癌细胞增殖减少、PFK活性降低</x:v>
      </x:c>
      <x:c r="I125" s="20" t="str">
        <x:v>not captured</x:v>
      </x:c>
      <x:c r="J125" s="20" t="str">
        <x:v>not reported</x:v>
      </x:c>
      <x:c r="K125" s="20" t="str">
        <x:v>not reported</x:v>
      </x:c>
      <x:c r="L125" s="20" t="str">
        <x:v>Contextual mixture/formulation evidence</x:v>
      </x:c>
      <x:c r="M125" s="20" t="str">
        <x:v>PI3K/Akt/mTOR/metabolism; Immune microenvironment</x:v>
      </x:c>
      <x:c r="N125" s="20" t="str">
        <x:v>40444125</x:v>
      </x:c>
      <x:c r="O125" s="20" t="str">
        <x:v>not available</x:v>
      </x:c>
      <x:c r="P125" s="20" t="str">
        <x:v>Isovitexin\124-40444125-Functional Evaluation of Cooking Mim Source Food Sci Nutr SO 2025.pdf</x:v>
      </x:c>
      <x:c r="Q125" s="20" t="str">
        <x:v>not retained - incomplete bibliographic metadata</x:v>
      </x:c>
      <x:c r="R125" s="20" t="str">
        <x:v>Excluded: incomplete bibliographic title requiring verification</x:v>
      </x:c>
      <x:c r="S125" s="20" t="str">
        <x:v>2025</x:v>
      </x:c>
      <x:c r="T125" s="20" t="str">
        <x:v>2025/05/28</x:v>
      </x:c>
      <x:c r="U125" s="20" t="str">
        <x:v>Isovitexin</x:v>
      </x:c>
      <x:c r="V125" s="20" t="str">
        <x:v>中国橄榄叶、果、核（烹饪模拟提取）</x:v>
      </x:c>
      <x:c r="W125" s="20" t="str">
        <x:v>Not established from supplied source field</x:v>
      </x:c>
      <x:c r="X125" s="20" t="str">
        <x:v>Generic botanical, dietary, computational, or unspecified association</x:v>
      </x:c>
      <x:c r="Y125" s="20" t="str">
        <x:v>PMID 40444125; not available</x:v>
      </x:c>
      <x:c r="Z125" s="20" t="str">
        <x:v>Not assessed for final attribution (excluded record)</x:v>
      </x:c>
      <x:c r="AA125" s="20" t="str">
        <x:v>Row-level annotation; deduplicate by PMID for final reference-level counts</x:v>
      </x:c>
    </x:row>
    <x:row r="126">
      <x:c r="A126" s="20" t="str">
        <x:v>Secoemestrin C</x:v>
      </x:c>
      <x:c r="B126" s="20" t="str">
        <x:v>Fungal alkaloid-like metabolites</x:v>
      </x:c>
      <x:c r="C126" s="20" t="str">
        <x:v>埃默色拉菌（Emericella sp.）</x:v>
      </x:c>
      <x:c r="D126" s="20" t="str">
        <x:v>结直肠癌干细胞（CSCs）与非干细胞（non-CSCs）</x:v>
      </x:c>
      <x:c r="E126" s="20" t="str">
        <x:v>In vitro</x:v>
      </x:c>
      <x:c r="F126" s="20" t="str">
        <x:v>not captured in source extraction</x:v>
      </x:c>
      <x:c r="G126" s="20" t="str">
        <x:v>IL-17轴 → p38信号通路；p38-S100A8 正反馈环路</x:v>
      </x:c>
      <x:c r="H126" s="20" t="str">
        <x:v>抑制增殖、自我更新、转移和耐药性。</x:v>
      </x:c>
      <x:c r="I126" s="20" t="str">
        <x:v>not captured</x:v>
      </x:c>
      <x:c r="J126" s="20" t="str">
        <x:v>not reported</x:v>
      </x:c>
      <x:c r="K126" s="20" t="str">
        <x:v>not reported</x:v>
      </x:c>
      <x:c r="L126" s="20" t="str">
        <x:v>Level 3: cell-based mechanistic evidence</x:v>
      </x:c>
      <x:c r="M126" s="20" t="str">
        <x:v>Wnt/beta-catenin/stemness; MAPK/JNK/ERK; EMT/ECM/metastasis</x:v>
      </x:c>
      <x:c r="N126" s="20" t="str">
        <x:v>38607060</x:v>
      </x:c>
      <x:c r="O126" s="20" t="str">
        <x:v>PMID38607060</x:v>
      </x:c>
      <x:c r="P126" s="20" t="str">
        <x:v>Secoemestrin C\125-38607060-The Natural Product Secoemestrin C I.pdf</x:v>
      </x:c>
      <x:c r="Q126" s="20" t="str">
        <x:v>The Natural Product Secoemestrin C Inhibits Colorectal Cancer Stem Cells via p38-S100A8 Feed-Forward Regulatory Loop.</x:v>
      </x:c>
      <x:c r="R126" s="20" t="str">
        <x:v>Included</x:v>
      </x:c>
      <x:c r="S126" s="20" t="str">
        <x:v>2024</x:v>
      </x:c>
      <x:c r="T126" s="20" t="str">
        <x:v>2024/04/03</x:v>
      </x:c>
      <x:c r="U126" s="20" t="str">
        <x:v>Secoemestrin C</x:v>
      </x:c>
      <x:c r="V126" s="20" t="str">
        <x:v>埃默色拉菌（Emericella sp.）</x:v>
      </x:c>
      <x:c r="W126" s="20" t="str">
        <x:v>Not established from supplied source field</x:v>
      </x:c>
      <x:c r="X126" s="20" t="str">
        <x:v>Generic botanical, dietary, computational, or unspecified association</x:v>
      </x:c>
      <x:c r="Y126" s="20" t="str">
        <x:v>PMID 38607060; PMID38607060</x:v>
      </x:c>
      <x:c r="Z126" s="20" t="str">
        <x:v>Purified isolated compound: Secoemestrin C</x:v>
      </x:c>
      <x:c r="AA126" s="20" t="str">
        <x:v>Row-level annotation; deduplicate by PMID for final reference-level counts</x:v>
      </x:c>
    </x:row>
    <x:row r="127">
      <x:c r="A127" s="20" t="str">
        <x:v>macrocarpal I</x:v>
      </x:c>
      <x:c r="B127" s="20" t="str">
        <x:v>Meroterpenoids</x:v>
      </x:c>
      <x:c r="C127" s="20" t="str">
        <x:v>植物</x:v>
      </x:c>
      <x:c r="D127" s="20" t="str">
        <x:v>体外：CRC细胞；体内：裸鼠皮下成瘤模型</x:v>
      </x:c>
      <x:c r="E127" s="20" t="str">
        <x:v>In vitro + in vivo</x:v>
      </x:c>
      <x:c r="F127" s="20" t="str">
        <x:v>not captured in source extraction</x:v>
      </x:c>
      <x:c r="G127" s="20" t="str">
        <x:v>影响激酶活性、细胞骨架、DNA修复</x:v>
      </x:c>
      <x:c r="H127" s="20" t="str">
        <x:v>抑制增殖、体内成瘤；破坏细胞骨架；促进凋亡</x:v>
      </x:c>
      <x:c r="I127" s="20" t="str">
        <x:v>not captured</x:v>
      </x:c>
      <x:c r="J127" s="20" t="str">
        <x:v>not reported</x:v>
      </x:c>
      <x:c r="K127" s="20" t="str">
        <x:v>not reported</x:v>
      </x:c>
      <x:c r="L127" s="20" t="str">
        <x:v>Level 1: animal-validated mechanistic evidence</x:v>
      </x:c>
      <x:c r="M127" s="20" t="str">
        <x:v>Apoptosis/cell cycle</x:v>
      </x:c>
      <x:c r="N127" s="20" t="str">
        <x:v>33137468</x:v>
      </x:c>
      <x:c r="O127" s="20" t="str">
        <x:v>PMID33137468</x:v>
      </x:c>
      <x:c r="P127" s="20" t="str">
        <x:v>macrocarpal I\126-33137468-The inhibition of colorectal cancer growth by the natural.pdf</x:v>
      </x:c>
      <x:c r="Q127" s="20" t="str">
        <x:v>The inhibition of colorectal cancer growth by the natural product macrocarpal I.</x:v>
      </x:c>
      <x:c r="R127" s="20" t="str">
        <x:v>Included</x:v>
      </x:c>
      <x:c r="S127" s="20" t="str">
        <x:v>2021</x:v>
      </x:c>
      <x:c r="T127" s="20" t="str">
        <x:v>2021/01/01</x:v>
      </x:c>
      <x:c r="U127" s="20" t="str">
        <x:v>macrocarpal I</x:v>
      </x:c>
      <x:c r="V127" s="20" t="str">
        <x:v>植物</x:v>
      </x:c>
      <x:c r="W127" s="20" t="str">
        <x:v>No—direct Chinese materia medica association not established in supplied sources</x:v>
      </x:c>
      <x:c r="X127" s="20" t="str">
        <x:v>Related natural-product evidence only</x:v>
      </x:c>
      <x:c r="Y127" s="20" t="str">
        <x:v>PMID 33137468; PMID33137468</x:v>
      </x:c>
      <x:c r="Z127" s="20" t="str">
        <x:v>Purified isolated compound: macrocarpal I</x:v>
      </x:c>
      <x:c r="AA127" s="20" t="str">
        <x:v>Row-level annotation; deduplicate by PMID for final reference-level counts</x:v>
      </x:c>
    </x:row>
    <x:row r="128">
      <x:c r="A128" s="20" t="str">
        <x:v>macrocarpal I</x:v>
      </x:c>
      <x:c r="B128" s="20" t="str">
        <x:v>Meroterpenoids</x:v>
      </x:c>
      <x:c r="C128" s="20" t="str">
        <x:v>天然化合物</x:v>
      </x:c>
      <x:c r="D128" s="20" t="str">
        <x:v>MC38 同基因型小鼠结直肠癌模型</x:v>
      </x:c>
      <x:c r="E128" s="20" t="str">
        <x:v>In vitro + in vivo</x:v>
      </x:c>
      <x:c r="F128" s="20" t="str">
        <x:v>not captured in source extraction</x:v>
      </x:c>
      <x:c r="G128" s="20" t="str">
        <x:v>PERK/eIF2A/ATF4/CHOP 信号通路</x:v>
      </x:c>
      <x:c r="H128" s="20" t="str">
        <x:v>诱导细胞死亡和铁死亡，ICD，破坏微管聚合和 DNA 修复，抗肿瘤免疫增强、增敏抗PD-1</x:v>
      </x:c>
      <x:c r="I128" s="20" t="str">
        <x:v>not captured</x:v>
      </x:c>
      <x:c r="J128" s="20" t="str">
        <x:v>not reported</x:v>
      </x:c>
      <x:c r="K128" s="20" t="str">
        <x:v>not reported</x:v>
      </x:c>
      <x:c r="L128" s="20" t="str">
        <x:v>Level 1: animal-validated mechanistic evidence</x:v>
      </x:c>
      <x:c r="M128" s="20" t="str">
        <x:v>MAPK/JNK/ERK; ROS/ferroptosis; Immune microenvironment</x:v>
      </x:c>
      <x:c r="N128" s="20" t="str">
        <x:v>39987121</x:v>
      </x:c>
      <x:c r="O128" s="20" t="str">
        <x:v>PMID39987121</x:v>
      </x:c>
      <x:c r="P128" s="20" t="str">
        <x:v>macrocarpal I\127-39987121-Macrocarpal I induces immunogenic ce Source Cell Death Discov SO 2025.pdf</x:v>
      </x:c>
      <x:c r="Q128" s="20" t="str">
        <x:v>Macrocarpal I induces immunogenic cell death and synergizes with immune checkpoint inhibition by targeting tubulin and PARP1 in colorectal cancer.</x:v>
      </x:c>
      <x:c r="R128" s="20" t="str">
        <x:v>Included</x:v>
      </x:c>
      <x:c r="S128" s="20" t="str">
        <x:v>2025</x:v>
      </x:c>
      <x:c r="T128" s="20" t="str">
        <x:v>2025/02/22</x:v>
      </x:c>
      <x:c r="U128" s="20" t="str">
        <x:v>macrocarpal I</x:v>
      </x:c>
      <x:c r="V128" s="20" t="str">
        <x:v>天然化合物</x:v>
      </x:c>
      <x:c r="W128" s="20" t="str">
        <x:v>No—direct Chinese materia medica association not established in supplied sources</x:v>
      </x:c>
      <x:c r="X128" s="20" t="str">
        <x:v>Related natural-product evidence only</x:v>
      </x:c>
      <x:c r="Y128" s="20" t="str">
        <x:v>PMID 39987121; PMID39987121</x:v>
      </x:c>
      <x:c r="Z128" s="20" t="str">
        <x:v>Purified isolated compound: macrocarpal I</x:v>
      </x:c>
      <x:c r="AA128" s="20" t="str">
        <x:v>Row-level annotation; deduplicate by PMID for final reference-level counts</x:v>
      </x:c>
    </x:row>
    <x:row r="129">
      <x:c r="A129" s="20" t="str">
        <x:v>Neothalfine</x:v>
      </x:c>
      <x:c r="B129" s="20" t="str">
        <x:v>Alkaloids</x:v>
      </x:c>
      <x:c r="C129" s="20" t="str">
        <x:v>药用植物</x:v>
      </x:c>
      <x:c r="D129" s="20" t="str">
        <x:v>HCT116、SW620、T84 等结直肠癌细胞系</x:v>
      </x:c>
      <x:c r="E129" s="20" t="str">
        <x:v>In vitro</x:v>
      </x:c>
      <x:c r="F129" s="20" t="str">
        <x:v>not captured in source extraction</x:v>
      </x:c>
      <x:c r="G129" s="20" t="str">
        <x:v>通过线粒体功能障碍诱导细胞凋亡，通过非靶向代谢组学方法、线粒体膜电位和半胱天冬酶 3/7 活性测定触发内在凋亡途径</x:v>
      </x:c>
      <x:c r="H129" s="20" t="str">
        <x:v>细胞周期停滞在 G2/M 期来抑制结直肠细胞增殖，凋亡诱导、克隆球形成抑制、广谱抗肿瘤活性</x:v>
      </x:c>
      <x:c r="I129" s="20" t="str">
        <x:v>not captured</x:v>
      </x:c>
      <x:c r="J129" s="20" t="str">
        <x:v>not reported</x:v>
      </x:c>
      <x:c r="K129" s="20" t="str">
        <x:v>not reported</x:v>
      </x:c>
      <x:c r="L129" s="20" t="str">
        <x:v>Level 3: cell-based mechanistic evidence</x:v>
      </x:c>
      <x:c r="M129" s="20" t="str">
        <x:v>Apoptosis/cell cycle; EMT/ECM/metastasis</x:v>
      </x:c>
      <x:c r="N129" s="20" t="str">
        <x:v>33221063</x:v>
      </x:c>
      <x:c r="O129" s="20" t="str">
        <x:v>PMID33221063</x:v>
      </x:c>
      <x:c r="P129" s="20" t="str">
        <x:v>Neothalfine\128-33221063-neothalfine a potent natural anti t source yan yan zhu bioorg med chem 2020 so 2020.pdf</x:v>
      </x:c>
      <x:c r="Q129" s="20" t="str">
        <x:v>Neothalfine, a potent natural anti-tumor agent against metastatic colorectal cancer and its primary mechanism.</x:v>
      </x:c>
      <x:c r="R129" s="20" t="str">
        <x:v>Included</x:v>
      </x:c>
      <x:c r="S129" s="20" t="str">
        <x:v>2021</x:v>
      </x:c>
      <x:c r="T129" s="20" t="str">
        <x:v>2021/01/01</x:v>
      </x:c>
      <x:c r="U129" s="20" t="str">
        <x:v>Neothalfine</x:v>
      </x:c>
      <x:c r="V129" s="20" t="str">
        <x:v>药用植物</x:v>
      </x:c>
      <x:c r="W129" s="20" t="str">
        <x:v>Not established from supplied source field</x:v>
      </x:c>
      <x:c r="X129" s="20" t="str">
        <x:v>Generic botanical, dietary, computational, or unspecified association</x:v>
      </x:c>
      <x:c r="Y129" s="20" t="str">
        <x:v>PMID 33221063; PMID33221063</x:v>
      </x:c>
      <x:c r="Z129" s="20" t="str">
        <x:v>Purified isolated compound: Neothalfine</x:v>
      </x:c>
      <x:c r="AA129" s="20" t="str">
        <x:v>Row-level annotation; deduplicate by PMID for final reference-level counts</x:v>
      </x:c>
    </x:row>
    <x:row r="130">
      <x:c r="A130" s="20" t="str">
        <x:v>beta-Lapachone</x:v>
      </x:c>
      <x:c r="B130" s="20" t="str">
        <x:v>Quinones</x:v>
      </x:c>
      <x:c r="C130" s="20" t="str">
        <x:v>拉帕乔树</x:v>
      </x:c>
      <x:c r="D130" s="20" t="str">
        <x:v>人类结直肠癌的异种移植模型作为动物模型，并在 CRC 细胞系的 SW620 和 DLD-1</x:v>
      </x:c>
      <x:c r="E130" s="20" t="str">
        <x:v>In vitro + in vivo</x:v>
      </x:c>
      <x:c r="F130" s="20" t="str">
        <x:v>not captured in source extraction</x:v>
      </x:c>
      <x:c r="G130" s="20" t="str">
        <x:v>JNK 信号通路参与beta-Lapachone诱导的 xCT/GPX4 介导的铁死亡和 NCOA4 介导的铁蛋白</x:v>
      </x:c>
      <x:c r="H130" s="20" t="str">
        <x:v>诱导铁死亡、凋亡、自噬；促进 ROS；抑制增殖</x:v>
      </x:c>
      <x:c r="I130" s="20" t="str">
        <x:v>not captured</x:v>
      </x:c>
      <x:c r="J130" s="20" t="str">
        <x:v>not reported</x:v>
      </x:c>
      <x:c r="K130" s="20" t="str">
        <x:v>not reported</x:v>
      </x:c>
      <x:c r="L130" s="20" t="str">
        <x:v>Level 1: animal-validated mechanistic evidence</x:v>
      </x:c>
      <x:c r="M130" s="20" t="str">
        <x:v>Apoptosis/cell cycle; MAPK/JNK/ERK; ROS/ferroptosis</x:v>
      </x:c>
      <x:c r="N130" s="20" t="str">
        <x:v>38218311</x:v>
      </x:c>
      <x:c r="O130" s="20" t="str">
        <x:v>PMID38218311</x:v>
      </x:c>
      <x:c r="P130" s="20" t="str">
        <x:v>beta-Lapachone\128-38218311-lapachone induces ferroptosis of c source chem biol interact so 2024.pdf</x:v>
      </x:c>
      <x:c r="Q130" s="20" t="str">
        <x:v>beta-Lapachone induces ferroptosis of colorectal cancer cells via NCOA4-mediated ferritinophagy by activating JNK pathway.</x:v>
      </x:c>
      <x:c r="R130" s="20" t="str">
        <x:v>Included</x:v>
      </x:c>
      <x:c r="S130" s="20" t="str">
        <x:v>2024</x:v>
      </x:c>
      <x:c r="T130" s="20" t="str">
        <x:v>2024/02/01</x:v>
      </x:c>
      <x:c r="U130" s="20" t="str">
        <x:v>beta-Lapachone</x:v>
      </x:c>
      <x:c r="V130" s="20" t="str">
        <x:v>拉帕乔树</x:v>
      </x:c>
      <x:c r="W130" s="20" t="str">
        <x:v>No—direct Chinese materia medica association not established in supplied sources</x:v>
      </x:c>
      <x:c r="X130" s="20" t="str">
        <x:v>Related natural-product evidence only</x:v>
      </x:c>
      <x:c r="Y130" s="20" t="str">
        <x:v>PMID 38218311; PMID38218311</x:v>
      </x:c>
      <x:c r="Z130" s="20" t="str">
        <x:v>Purified isolated compound: beta-Lapachone</x:v>
      </x:c>
      <x:c r="AA130" s="20" t="str">
        <x:v>Row-level annotation; deduplicate by PMID for final reference-level counts</x:v>
      </x:c>
    </x:row>
    <x:row r="131">
      <x:c r="A131" s="20" t="str">
        <x:v>beta-Lapachone</x:v>
      </x:c>
      <x:c r="B131" s="20" t="str">
        <x:v>Quinones</x:v>
      </x:c>
      <x:c r="C131" s="20" t="str">
        <x:v>拉帕乔树</x:v>
      </x:c>
      <x:c r="D131" s="20" t="str">
        <x:v>HCT116-OxPt-R 细胞</x:v>
      </x:c>
      <x:c r="E131" s="20" t="str">
        <x:v>In vitro</x:v>
      </x:c>
      <x:c r="F131" s="20" t="str">
        <x:v>not captured in source extraction</x:v>
      </x:c>
      <x:c r="G131" s="20" t="str">
        <x:v>通过下调p53、Lys-乙酰化蛋白、TrkA、p38 MAPK、SOD1、caspase-2、CD44和NPM发挥抗肿瘤作用</x:v>
      </x:c>
      <x:c r="H131" s="20" t="str">
        <x:v>发挥更多的细胞毒性和形态学变化</x:v>
      </x:c>
      <x:c r="I131" s="20" t="str">
        <x:v>not captured</x:v>
      </x:c>
      <x:c r="J131" s="20" t="str">
        <x:v>not reported</x:v>
      </x:c>
      <x:c r="K131" s="20" t="str">
        <x:v>not reported</x:v>
      </x:c>
      <x:c r="L131" s="20" t="str">
        <x:v>Level 3: cell-based mechanistic evidence</x:v>
      </x:c>
      <x:c r="M131" s="20" t="str">
        <x:v>Apoptosis/cell cycle; MAPK/JNK/ERK</x:v>
      </x:c>
      <x:c r="N131" s="20" t="str">
        <x:v>37373014</x:v>
      </x:c>
      <x:c r="O131" s="20" t="str">
        <x:v>PMID37373014</x:v>
      </x:c>
      <x:c r="P131" s="20" t="str">
        <x:v>beta-Lapachone\130-37373014-Lapachone Exerts Anticancer Effect.pdf</x:v>
      </x:c>
      <x:c r="Q131" s="20" t="str">
        <x:v>beta-Lapachone Exerts Anticancer Effects by Downregulating p53, Lys-Acetylated Proteins, TrkA, p38 MAPK, SOD1, Caspase-2, CD44 and NPM in Oxaliplatin-Resistant HCT116 Colorectal Cancer Cells.</x:v>
      </x:c>
      <x:c r="R131" s="20" t="str">
        <x:v>Included</x:v>
      </x:c>
      <x:c r="S131" s="20" t="str">
        <x:v>2023</x:v>
      </x:c>
      <x:c r="T131" s="20" t="str">
        <x:v>2023/06/07</x:v>
      </x:c>
      <x:c r="U131" s="20" t="str">
        <x:v>beta-Lapachone</x:v>
      </x:c>
      <x:c r="V131" s="20" t="str">
        <x:v>拉帕乔树</x:v>
      </x:c>
      <x:c r="W131" s="20" t="str">
        <x:v>No—direct Chinese materia medica association not established in supplied sources</x:v>
      </x:c>
      <x:c r="X131" s="20" t="str">
        <x:v>Related natural-product evidence only</x:v>
      </x:c>
      <x:c r="Y131" s="20" t="str">
        <x:v>PMID 37373014; PMID37373014</x:v>
      </x:c>
      <x:c r="Z131" s="20" t="str">
        <x:v>Purified isolated compound: beta-Lapachone</x:v>
      </x:c>
      <x:c r="AA131" s="20" t="str">
        <x:v>Row-level annotation; deduplicate by PMID for final reference-level counts</x:v>
      </x:c>
    </x:row>
    <x:row r="132">
      <x:c r="A132" s="20" t="str">
        <x:v>beta-Lapachone</x:v>
      </x:c>
      <x:c r="B132" s="20" t="str">
        <x:v>Quinones</x:v>
      </x:c>
      <x:c r="C132" s="20" t="str">
        <x:v>拉帕乔树</x:v>
      </x:c>
      <x:c r="D132" s="20" t="str">
        <x:v>HCT116（亲本）和OxPt-R HCT116结直肠癌细胞系</x:v>
      </x:c>
      <x:c r="E132" s="20" t="str">
        <x:v>In vitro</x:v>
      </x:c>
      <x:c r="F132" s="20" t="str">
        <x:v>not captured in source extraction</x:v>
      </x:c>
      <x:c r="G132" s="20" t="str">
        <x:v>抑制p53/β-catenin，下调TERT/CD44/EGFR，上调裂解HSP90/γ-H2AX/LC3B-I/II</x:v>
      </x:c>
      <x:c r="H132" s="20" t="str">
        <x:v>增强抗癌效果（OxPt-R细胞中更显著）；诱导凋亡；诱导DNA损伤；抑制细胞存活</x:v>
      </x:c>
      <x:c r="I132" s="20" t="str">
        <x:v>not captured</x:v>
      </x:c>
      <x:c r="J132" s="20" t="str">
        <x:v>not reported</x:v>
      </x:c>
      <x:c r="K132" s="20" t="str">
        <x:v>not reported</x:v>
      </x:c>
      <x:c r="L132" s="20" t="str">
        <x:v>Level 3: cell-based mechanistic evidence</x:v>
      </x:c>
      <x:c r="M132" s="20" t="str">
        <x:v>Apoptosis/cell cycle; Wnt/beta-catenin/stemness</x:v>
      </x:c>
      <x:c r="N132" s="20" t="str">
        <x:v>38139333</x:v>
      </x:c>
      <x:c r="O132" s="20" t="str">
        <x:v>not available</x:v>
      </x:c>
      <x:c r="P132" s="20" t="str">
        <x:v>beta-Lapachone\129-38139333-Artemisia annua L Polyphenols Enhan.pdf</x:v>
      </x:c>
      <x:c r="Q132" s="20" t="str">
        <x:v>not retained - incomplete bibliographic metadata</x:v>
      </x:c>
      <x:c r="R132" s="20" t="str">
        <x:v>Excluded: incomplete bibliographic title requiring verification</x:v>
      </x:c>
      <x:c r="S132" s="20" t="str">
        <x:v>2023</x:v>
      </x:c>
      <x:c r="T132" s="20" t="str">
        <x:v>2023/12/15</x:v>
      </x:c>
      <x:c r="U132" s="20" t="str">
        <x:v>beta-Lapachone</x:v>
      </x:c>
      <x:c r="V132" s="20" t="str">
        <x:v>拉帕乔树</x:v>
      </x:c>
      <x:c r="W132" s="20" t="str">
        <x:v>No—direct Chinese materia medica association not established in supplied sources</x:v>
      </x:c>
      <x:c r="X132" s="20" t="str">
        <x:v>Related natural-product evidence only</x:v>
      </x:c>
      <x:c r="Y132" s="20" t="str">
        <x:v>PMID 38139333; not available</x:v>
      </x:c>
      <x:c r="Z132" s="20" t="str">
        <x:v>Not assessed for final attribution (excluded record)</x:v>
      </x:c>
      <x:c r="AA132" s="20" t="str">
        <x:v>Row-level annotation; deduplicate by PMID for final reference-level counts</x:v>
      </x:c>
    </x:row>
    <x:row r="133">
      <x:c r="A133" s="20" t="str">
        <x:v>beta-Lapachone</x:v>
      </x:c>
      <x:c r="B133" s="20" t="str">
        <x:v>Quinones</x:v>
      </x:c>
      <x:c r="C133" s="20" t="str">
        <x:v>Ipê树（拉帕乔树）</x:v>
      </x:c>
      <x:c r="D133" s="20" t="str">
        <x:v>ACP02（胃腺癌细胞）、MCF7（乳腺癌细胞）、HCT116（结肠癌细胞）和 HEPG2（肝细胞癌细胞）</x:v>
      </x:c>
      <x:c r="E133" s="20" t="str">
        <x:v>In vitro</x:v>
      </x:c>
      <x:c r="F133" s="20" t="str">
        <x:v>not captured in source extraction</x:v>
      </x:c>
      <x:c r="G133" s="20" t="str">
        <x:v>not reported</x:v>
      </x:c>
      <x:c r="H133" s="20" t="str">
        <x:v>高细胞毒性、DNA损伤、核异常、细胞凋亡、抗增殖活性</x:v>
      </x:c>
      <x:c r="I133" s="20" t="str">
        <x:v>not captured</x:v>
      </x:c>
      <x:c r="J133" s="20" t="str">
        <x:v>not reported</x:v>
      </x:c>
      <x:c r="K133" s="20" t="str">
        <x:v>not reported</x:v>
      </x:c>
      <x:c r="L133" s="20" t="str">
        <x:v>Level 3: cell-based mechanistic evidence</x:v>
      </x:c>
      <x:c r="M133" s="20" t="str">
        <x:v>Apoptosis/cell cycle</x:v>
      </x:c>
      <x:c r="N133" s="20" t="str">
        <x:v>38543031</x:v>
      </x:c>
      <x:c r="O133" s="20" t="str">
        <x:v>PMID38543031</x:v>
      </x:c>
      <x:c r="P133" s="20" t="str">
        <x:v>beta-Lapachone\132-38543031-Anticancer Potential and Safety Prof.pdf</x:v>
      </x:c>
      <x:c r="Q133" s="20" t="str">
        <x:v>Anticancer Potential and Safety Profile of beta-Lapachone In Vitro.</x:v>
      </x:c>
      <x:c r="R133" s="20" t="str">
        <x:v>Included</x:v>
      </x:c>
      <x:c r="S133" s="20" t="str">
        <x:v>2024</x:v>
      </x:c>
      <x:c r="T133" s="20" t="str">
        <x:v>2024/03/21</x:v>
      </x:c>
      <x:c r="U133" s="20" t="str">
        <x:v>beta-Lapachone</x:v>
      </x:c>
      <x:c r="V133" s="20" t="str">
        <x:v>Ipê树（拉帕乔树）</x:v>
      </x:c>
      <x:c r="W133" s="20" t="str">
        <x:v>No—direct Chinese materia medica association not established in supplied sources</x:v>
      </x:c>
      <x:c r="X133" s="20" t="str">
        <x:v>Related natural-product evidence only</x:v>
      </x:c>
      <x:c r="Y133" s="20" t="str">
        <x:v>PMID 38543031; PMID38543031</x:v>
      </x:c>
      <x:c r="Z133" s="20" t="str">
        <x:v>Purified isolated compound: beta-Lapachone</x:v>
      </x:c>
      <x:c r="AA133" s="20" t="str">
        <x:v>Row-level annotation; deduplicate by PMID for final reference-level counts</x:v>
      </x:c>
    </x:row>
    <x:row r="134">
      <x:c r="A134" s="20" t="str">
        <x:v>beta-Lapachone</x:v>
      </x:c>
      <x:c r="B134" s="20" t="str">
        <x:v>Quinones</x:v>
      </x:c>
      <x:c r="C134" s="20" t="str">
        <x:v>拉帕乔树</x:v>
      </x:c>
      <x:c r="D134" s="20" t="str">
        <x:v>not reported</x:v>
      </x:c>
      <x:c r="E134" s="20" t="str">
        <x:v>Not specified</x:v>
      </x:c>
      <x:c r="F134" s="20" t="str">
        <x:v>not captured in source extraction</x:v>
      </x:c>
      <x:c r="G134" s="20" t="str">
        <x:v>通过 NQO1 激活 → ROS 爆发 → 癌细胞凋亡 + ICD</x:v>
      </x:c>
      <x:c r="H134" s="20" t="str">
        <x:v>免疫原性细胞死亡 ，肿瘤相关中性粒细胞 (TANs) 表型重编程</x:v>
      </x:c>
      <x:c r="I134" s="20" t="str">
        <x:v>not captured</x:v>
      </x:c>
      <x:c r="J134" s="20" t="str">
        <x:v>not reported</x:v>
      </x:c>
      <x:c r="K134" s="20" t="str">
        <x:v>not reported</x:v>
      </x:c>
      <x:c r="L134" s="20" t="str">
        <x:v>Excluded: insufficient extractable evidence</x:v>
      </x:c>
      <x:c r="M134" s="20" t="str">
        <x:v>Apoptosis/cell cycle; ROS/ferroptosis; Immune microenvironment</x:v>
      </x:c>
      <x:c r="N134" s="20" t="str">
        <x:v>40972825</x:v>
      </x:c>
      <x:c r="O134" s="20" t="str">
        <x:v>PMID40972825</x:v>
      </x:c>
      <x:c r="P134" s="20" t="str">
        <x:v>beta-Lapachone\133-40972825-Mitochondria targeted hybrid nanoves SO J Control Release 2025 Sep 17 387 114242 doi 10 1016 j jconrel 2025 114242.pdf</x:v>
      </x:c>
      <x:c r="Q134" s="20" t="str">
        <x:v>Mitochondria-targeted hybrid nanovesicles trigger immunogenic cell death and remodel tumor neutrophils for enhanced colorectal cancer immunotherapy.</x:v>
      </x:c>
      <x:c r="R134" s="20" t="str">
        <x:v>Excluded: insufficient extractable evidence</x:v>
      </x:c>
      <x:c r="S134" s="20" t="str">
        <x:v>2025</x:v>
      </x:c>
      <x:c r="T134" s="20" t="str">
        <x:v>2025/11/10</x:v>
      </x:c>
      <x:c r="U134" s="20" t="str">
        <x:v>beta-Lapachone</x:v>
      </x:c>
      <x:c r="V134" s="20" t="str">
        <x:v>拉帕乔树</x:v>
      </x:c>
      <x:c r="W134" s="20" t="str">
        <x:v>No—direct Chinese materia medica association not established in supplied sources</x:v>
      </x:c>
      <x:c r="X134" s="20" t="str">
        <x:v>Related natural-product evidence only</x:v>
      </x:c>
      <x:c r="Y134" s="20" t="str">
        <x:v>PMID 40972825; PMID40972825</x:v>
      </x:c>
      <x:c r="Z134" s="20" t="str">
        <x:v>Not assessed for final attribution (excluded record)</x:v>
      </x:c>
      <x:c r="AA134" s="20" t="str">
        <x:v>Row-level annotation; deduplicate by PMID for final reference-level counts</x:v>
      </x:c>
    </x:row>
    <x:row r="135">
      <x:c r="A135" s="20" t="str">
        <x:v>beta-Lapachone</x:v>
      </x:c>
      <x:c r="B135" s="20" t="str">
        <x:v>Quinones</x:v>
      </x:c>
      <x:c r="C135" s="20" t="str">
        <x:v>拉帕乔树的树皮</x:v>
      </x:c>
      <x:c r="D135" s="20" t="str">
        <x:v>体外和体内实验</x:v>
      </x:c>
      <x:c r="E135" s="20" t="str">
        <x:v>In vitro + in vivo</x:v>
      </x:c>
      <x:c r="F135" s="20" t="str">
        <x:v>not captured in source extraction</x:v>
      </x:c>
      <x:c r="G135" s="20" t="str">
        <x:v>NQO1介导的ROS生成 → P-gp下调 → PTX释放 + ATP耗竭</x:v>
      </x:c>
      <x:c r="H135" s="20" t="str">
        <x:v>NQO1介导的ROS生成 → P-gp下调 → PTX释放 + ATP耗竭</x:v>
      </x:c>
      <x:c r="I135" s="20" t="str">
        <x:v>not captured</x:v>
      </x:c>
      <x:c r="J135" s="20" t="str">
        <x:v>not reported</x:v>
      </x:c>
      <x:c r="K135" s="20" t="str">
        <x:v>not reported</x:v>
      </x:c>
      <x:c r="L135" s="20" t="str">
        <x:v>Level 1: animal-validated mechanistic evidence</x:v>
      </x:c>
      <x:c r="M135" s="20" t="str">
        <x:v>Wnt/beta-catenin/stemness; ROS/ferroptosis</x:v>
      </x:c>
      <x:c r="N135" s="20" t="str">
        <x:v>32706272</x:v>
      </x:c>
      <x:c r="O135" s="20" t="str">
        <x:v>PMID32706272</x:v>
      </x:c>
      <x:c r="P135" s="20" t="str">
        <x:v>beta-Lapachone\134-32706272-A pH ROS cascade responsive and self Source Drug Deliv SO 2020 Dec 27 1 1073 1086.pdf</x:v>
      </x:c>
      <x:c r="Q135" s="20" t="str">
        <x:v>A pH/ROS cascade-responsive and self-accelerating drug release nanosystem for the targeted treatment of multi-drug-resistant colon cancer.</x:v>
      </x:c>
      <x:c r="R135" s="20" t="str">
        <x:v>Included</x:v>
      </x:c>
      <x:c r="S135" s="20" t="str">
        <x:v>2020</x:v>
      </x:c>
      <x:c r="T135" s="20" t="str">
        <x:v>2020/12/01</x:v>
      </x:c>
      <x:c r="U135" s="20" t="str">
        <x:v>beta-Lapachone</x:v>
      </x:c>
      <x:c r="V135" s="20" t="str">
        <x:v>拉帕乔树的树皮</x:v>
      </x:c>
      <x:c r="W135" s="20" t="str">
        <x:v>No—direct Chinese materia medica association not established in supplied sources</x:v>
      </x:c>
      <x:c r="X135" s="20" t="str">
        <x:v>Related natural-product evidence only</x:v>
      </x:c>
      <x:c r="Y135" s="20" t="str">
        <x:v>PMID 32706272; PMID32706272</x:v>
      </x:c>
      <x:c r="Z135" s="20" t="str">
        <x:v>Formulation/nanodelivery contextual evidence</x:v>
      </x:c>
      <x:c r="AA135" s="20" t="str">
        <x:v>Row-level annotation; deduplicate by PMID for final reference-level counts</x:v>
      </x:c>
    </x:row>
    <x:row r="136">
      <x:c r="A136" s="20" t="str">
        <x:v>beta-Lapachone</x:v>
      </x:c>
      <x:c r="B136" s="20" t="str">
        <x:v>Quinones</x:v>
      </x:c>
      <x:c r="C136" s="20" t="str">
        <x:v>天然获得</x:v>
      </x:c>
      <x:c r="D136" s="20" t="str">
        <x:v>体外：三种肿瘤细胞系（其中之一HT29）；体内：HT29异种移植小鼠模型</x:v>
      </x:c>
      <x:c r="E136" s="20" t="str">
        <x:v>In vitro + in vivo</x:v>
      </x:c>
      <x:c r="F136" s="20" t="str">
        <x:v>not captured in source extraction</x:v>
      </x:c>
      <x:c r="G136" s="20" t="str">
        <x:v>NQO1抑制 → ROS产生 → DNA损伤 → 细胞凋亡</x:v>
      </x:c>
      <x:c r="H136" s="20" t="str">
        <x:v>选择性抑制癌细胞增殖；诱导ROS；诱导凋亡；诱导DNA损伤</x:v>
      </x:c>
      <x:c r="I136" s="20" t="str">
        <x:v>not captured</x:v>
      </x:c>
      <x:c r="J136" s="20" t="str">
        <x:v>not reported</x:v>
      </x:c>
      <x:c r="K136" s="20" t="str">
        <x:v>not reported</x:v>
      </x:c>
      <x:c r="L136" s="20" t="str">
        <x:v>Level 1: animal-validated mechanistic evidence</x:v>
      </x:c>
      <x:c r="M136" s="20" t="str">
        <x:v>Apoptosis/cell cycle; ROS/ferroptosis</x:v>
      </x:c>
      <x:c r="N136" s="20" t="str">
        <x:v>32592323</x:v>
      </x:c>
      <x:c r="O136" s="20" t="str">
        <x:v>PMID32592323</x:v>
      </x:c>
      <x:c r="P136" s="20" t="str">
        <x:v>beta-Lapachone\135-32592323-Novel β-carboline-based indole-4,7-quinone derivatives as NQO1 inhibitor.pdf</x:v>
      </x:c>
      <x:c r="Q136" s="20" t="str">
        <x:v>Novel beta-carboline-based indole-4,7-quinone derivatives as NAD(P)H: Quinone-oxidoreductase-1 inhibitor with potent antitumor activities by inducing reactive oxygen species, apoptosis, and DNA damage.</x:v>
      </x:c>
      <x:c r="R136" s="20" t="str">
        <x:v>Included</x:v>
      </x:c>
      <x:c r="S136" s="20" t="str">
        <x:v>2020</x:v>
      </x:c>
      <x:c r="T136" s="20" t="str">
        <x:v>2020/12/01</x:v>
      </x:c>
      <x:c r="U136" s="20" t="str">
        <x:v>beta-Lapachone</x:v>
      </x:c>
      <x:c r="V136" s="20" t="str">
        <x:v>天然获得</x:v>
      </x:c>
      <x:c r="W136" s="20" t="str">
        <x:v>No—direct Chinese materia medica association not established in supplied sources</x:v>
      </x:c>
      <x:c r="X136" s="20" t="str">
        <x:v>Related natural-product evidence only</x:v>
      </x:c>
      <x:c r="Y136" s="20" t="str">
        <x:v>PMID 32592323; PMID32592323</x:v>
      </x:c>
      <x:c r="Z136" s="20" t="str">
        <x:v>Derivative/metabolite contextual evidence</x:v>
      </x:c>
      <x:c r="AA136" s="20" t="str">
        <x:v>Row-level annotation; deduplicate by PMID for final reference-level counts</x:v>
      </x:c>
    </x:row>
    <x:row r="137">
      <x:c r="A137" s="20" t="str">
        <x:v>beta-Lapachone</x:v>
      </x:c>
      <x:c r="B137" s="20" t="str">
        <x:v>Quinones</x:v>
      </x:c>
      <x:c r="C137" s="20" t="str">
        <x:v>天然存在的萘醌类化合物</x:v>
      </x:c>
      <x:c r="D137" s="20" t="str">
        <x:v>not reported</x:v>
      </x:c>
      <x:c r="E137" s="20" t="str">
        <x:v>Not specified</x:v>
      </x:c>
      <x:c r="F137" s="20" t="str">
        <x:v>not captured in source extraction</x:v>
      </x:c>
      <x:c r="G137" s="20" t="str">
        <x:v>NQO1 介导的氧化还原循环</x:v>
      </x:c>
      <x:c r="H137" s="20" t="str">
        <x:v>消耗氧气并加剧肿瘤缺氧，从而激活 TPZ，增强化学动力疗法（CDT）</x:v>
      </x:c>
      <x:c r="I137" s="20" t="str">
        <x:v>not captured</x:v>
      </x:c>
      <x:c r="J137" s="20" t="str">
        <x:v>not reported</x:v>
      </x:c>
      <x:c r="K137" s="20" t="str">
        <x:v>not reported</x:v>
      </x:c>
      <x:c r="L137" s="20" t="str">
        <x:v>Excluded: insufficient extractable evidence</x:v>
      </x:c>
      <x:c r="M137" s="20" t="str">
        <x:v>ROS/ferroptosis</x:v>
      </x:c>
      <x:c r="N137" s="20" t="str">
        <x:v>41014255</x:v>
      </x:c>
      <x:c r="O137" s="20" t="str">
        <x:v>PMID41014255</x:v>
      </x:c>
      <x:c r="P137" s="20" t="str">
        <x:v>beta-Lapachone\136-41014255-MOF Based Nanoplatform Enables Syner SO ACS Appl Mater Interfaces 2025 Sep 27 doi 10 1021 acsami 5c13893 Online ahead of print.pdf</x:v>
      </x:c>
      <x:c r="Q137" s="20" t="str">
        <x:v>MOF-Based Nanoplatform Enables Synergistic Hypoxia-Activated Chemotherapy and Chemodynamic Therapy for Colon Cancer.</x:v>
      </x:c>
      <x:c r="R137" s="20" t="str">
        <x:v>Excluded: insufficient extractable evidence</x:v>
      </x:c>
      <x:c r="S137" s="20" t="str">
        <x:v>2025</x:v>
      </x:c>
      <x:c r="T137" s="20" t="str">
        <x:v>2025/10/08</x:v>
      </x:c>
      <x:c r="U137" s="20" t="str">
        <x:v>beta-Lapachone</x:v>
      </x:c>
      <x:c r="V137" s="20" t="str">
        <x:v>天然存在的萘醌类化合物</x:v>
      </x:c>
      <x:c r="W137" s="20" t="str">
        <x:v>No—direct Chinese materia medica association not established in supplied sources</x:v>
      </x:c>
      <x:c r="X137" s="20" t="str">
        <x:v>Related natural-product evidence only</x:v>
      </x:c>
      <x:c r="Y137" s="20" t="str">
        <x:v>PMID 41014255; PMID41014255</x:v>
      </x:c>
      <x:c r="Z137" s="20" t="str">
        <x:v>Not assessed for final attribution (excluded record)</x:v>
      </x:c>
      <x:c r="AA137" s="20" t="str">
        <x:v>Row-level annotation; deduplicate by PMID for final reference-level counts</x:v>
      </x:c>
    </x:row>
    <x:row r="138">
      <x:c r="A138" s="20" t="str">
        <x:v>Dictamnine</x:v>
      </x:c>
      <x:c r="B138" s="20" t="str">
        <x:v>Alkaloids</x:v>
      </x:c>
      <x:c r="C138" s="20" t="str">
        <x:v>白鲜皮</x:v>
      </x:c>
      <x:c r="D138" s="20" t="str">
        <x:v>DLD-1, LoVo, THP-1 巨噬细胞</x:v>
      </x:c>
      <x:c r="E138" s="20" t="str">
        <x:v>In vitro</x:v>
      </x:c>
      <x:c r="F138" s="20" t="str">
        <x:v>not captured in source extraction</x:v>
      </x:c>
      <x:c r="G138" s="20" t="str">
        <x:v>诱导铁死亡和通过 MAPK 信号</x:v>
      </x:c>
      <x:c r="H138" s="20" t="str">
        <x:v>诱导铁死亡、抑制 M2 极化、抑制增殖</x:v>
      </x:c>
      <x:c r="I138" s="20" t="str">
        <x:v>not captured</x:v>
      </x:c>
      <x:c r="J138" s="20" t="str">
        <x:v>not reported</x:v>
      </x:c>
      <x:c r="K138" s="20" t="str">
        <x:v>not reported</x:v>
      </x:c>
      <x:c r="L138" s="20" t="str">
        <x:v>Level 3: cell-based mechanistic evidence</x:v>
      </x:c>
      <x:c r="M138" s="20" t="str">
        <x:v>MAPK/JNK/ERK; ROS/ferroptosis; Immune microenvironment</x:v>
      </x:c>
      <x:c r="N138" s="20" t="str">
        <x:v>38851368</x:v>
      </x:c>
      <x:c r="O138" s="20" t="str">
        <x:v>PMID38851368</x:v>
      </x:c>
      <x:c r="P138" s="20" t="str">
        <x:v>Dictamnine\137-38851368-Antitumor activity of dictamnine aga Source Arch Biochem Biophys SO 2024.pdf</x:v>
      </x:c>
      <x:c r="Q138" s="20" t="str">
        <x:v>Antitumor activity of dictamnine against colorectal cancer through induction of ferroptosis and inhibition of M2 macrophage polarization via the MAPK signaling.</x:v>
      </x:c>
      <x:c r="R138" s="20" t="str">
        <x:v>Included</x:v>
      </x:c>
      <x:c r="S138" s="20" t="str">
        <x:v>2024</x:v>
      </x:c>
      <x:c r="T138" s="20" t="str">
        <x:v>2024/08/01</x:v>
      </x:c>
      <x:c r="U138" s="20" t="str">
        <x:v>Dictamnine</x:v>
      </x:c>
      <x:c r="V138" s="20" t="str">
        <x:v>白鲜皮</x:v>
      </x:c>
      <x:c r="W138" s="20" t="str">
        <x:v>Not established from supplied source field</x:v>
      </x:c>
      <x:c r="X138" s="20" t="str">
        <x:v>Generic botanical, dietary, computational, or unspecified association</x:v>
      </x:c>
      <x:c r="Y138" s="20" t="str">
        <x:v>PMID 38851368; PMID38851368</x:v>
      </x:c>
      <x:c r="Z138" s="20" t="str">
        <x:v>Purified isolated compound: Dictamnine</x:v>
      </x:c>
      <x:c r="AA138" s="20" t="str">
        <x:v>Row-level annotation; deduplicate by PMID for final reference-level counts</x:v>
      </x:c>
    </x:row>
    <x:row r="139">
      <x:c r="A139" s="20" t="str">
        <x:v>Dictamnine</x:v>
      </x:c>
      <x:c r="B139" s="20" t="str">
        <x:v>Alkaloids</x:v>
      </x:c>
      <x:c r="C139" s="20" t="str">
        <x:v>白鲜皮</x:v>
      </x:c>
      <x:c r="D139" s="20" t="str">
        <x:v>TCGA数据分析、COAD临床样本、siRNA体外实验、分子对接、移植瘤模型</x:v>
      </x:c>
      <x:c r="E139" s="20" t="str">
        <x:v>In vitro + in vivo</x:v>
      </x:c>
      <x:c r="F139" s="20" t="str">
        <x:v>not captured in source extraction</x:v>
      </x:c>
      <x:c r="G139" s="20" t="str">
        <x:v>LEP、NGF、PCOLCE2</x:v>
      </x:c>
      <x:c r="H139" s="20" t="str">
        <x:v>抑制肿瘤生长，降低 LEP、NGF 或 PCOLCE2 抑制 COAD 细胞增殖和 EMT</x:v>
      </x:c>
      <x:c r="I139" s="20" t="str">
        <x:v>not captured</x:v>
      </x:c>
      <x:c r="J139" s="20" t="str">
        <x:v>not reported</x:v>
      </x:c>
      <x:c r="K139" s="20" t="str">
        <x:v>not reported</x:v>
      </x:c>
      <x:c r="L139" s="20" t="str">
        <x:v>Level 1: animal-validated mechanistic evidence</x:v>
      </x:c>
      <x:c r="M139" s="20" t="str">
        <x:v>EMT/ECM/metastasis; Immune microenvironment</x:v>
      </x:c>
      <x:c r="N139" s="20" t="str">
        <x:v>38694509</x:v>
      </x:c>
      <x:c r="O139" s="20" t="str">
        <x:v>PMID38694509</x:v>
      </x:c>
      <x:c r="P139" s="20" t="str">
        <x:v>Dictamnine\138-38694509-identification of extracellular matr immunol.pdf</x:v>
      </x:c>
      <x:c r="Q139" s="20" t="str">
        <x:v>Identification of extracellular matrix-related biomarkers in colon adenocarcinoma by bioinformatics and experimental validation.</x:v>
      </x:c>
      <x:c r="R139" s="20" t="str">
        <x:v>Excluded: no CRC-specific model or outcome extracted</x:v>
      </x:c>
      <x:c r="S139" s="20" t="str">
        <x:v>2024</x:v>
      </x:c>
      <x:c r="T139" s="20" t="str">
        <x:v>2024/04/17</x:v>
      </x:c>
      <x:c r="U139" s="20" t="str">
        <x:v>Dictamnine</x:v>
      </x:c>
      <x:c r="V139" s="20" t="str">
        <x:v>白鲜皮</x:v>
      </x:c>
      <x:c r="W139" s="20" t="str">
        <x:v>Not established from supplied source field</x:v>
      </x:c>
      <x:c r="X139" s="20" t="str">
        <x:v>Generic botanical, dietary, computational, or unspecified association</x:v>
      </x:c>
      <x:c r="Y139" s="20" t="str">
        <x:v>PMID 38694509; PMID38694509</x:v>
      </x:c>
      <x:c r="Z139" s="20" t="str">
        <x:v>Not assessed for final attribution (excluded record)</x:v>
      </x:c>
      <x:c r="AA139" s="20" t="str">
        <x:v>Row-level annotation; deduplicate by PMID for final reference-level counts</x:v>
      </x:c>
    </x:row>
    <x:row r="140">
      <x:c r="A140" s="20" t="str">
        <x:v>Eucalyptol</x:v>
      </x:c>
      <x:c r="B140" s="20" t="str">
        <x:v>Terpenoids</x:v>
      </x:c>
      <x:c r="C140" s="20" t="str">
        <x:v>厚朴</x:v>
      </x:c>
      <x:c r="D140" s="20" t="str">
        <x:v>动物实验（体内）；HCT116 细胞和 Caco-2 细胞（体外）</x:v>
      </x:c>
      <x:c r="E140" s="20" t="str">
        <x:v>In vitro + in vivo</x:v>
      </x:c>
      <x:c r="F140" s="20" t="str">
        <x:v>not captured in source extraction</x:v>
      </x:c>
      <x:c r="G140" s="20" t="str">
        <x:v>通过抑制 NF-κBp65/JAK 和 Bcl-2/Caspase 信号通路的过度激活来抵消 CRC</x:v>
      </x:c>
      <x:c r="H140" s="20" t="str">
        <x:v>抑制炎症、抑制肿瘤细胞增殖</x:v>
      </x:c>
      <x:c r="I140" s="20" t="str">
        <x:v>not captured</x:v>
      </x:c>
      <x:c r="J140" s="20" t="str">
        <x:v>not reported</x:v>
      </x:c>
      <x:c r="K140" s="20" t="str">
        <x:v>not reported</x:v>
      </x:c>
      <x:c r="L140" s="20" t="str">
        <x:v>Level 1: animal-validated mechanistic evidence</x:v>
      </x:c>
      <x:c r="M140" s="20" t="str">
        <x:v>Apoptosis/cell cycle; NF-kB/STAT3/inflammation</x:v>
      </x:c>
      <x:c r="N140" s="20" t="str">
        <x:v>39471878</x:v>
      </x:c>
      <x:c r="O140" s="20" t="str">
        <x:v>PMID39471878</x:v>
      </x:c>
      <x:c r="P140" s="20" t="str">
        <x:v>Eucalyptol\139-39471878-Effect and mechanism of Magnolia off Source J Ethnopharmacol SO 2024.pdf</x:v>
      </x:c>
      <x:c r="Q140" s="20" t="str">
        <x:v>Effect and mechanism of Magnolia officinalis in colorectal cancer: Multi-component-multi-target approach.</x:v>
      </x:c>
      <x:c r="R140" s="20" t="str">
        <x:v>Included</x:v>
      </x:c>
      <x:c r="S140" s="20" t="str">
        <x:v>2025</x:v>
      </x:c>
      <x:c r="T140" s="20" t="str">
        <x:v>2025/02/10</x:v>
      </x:c>
      <x:c r="U140" s="20" t="str">
        <x:v>Eucalyptol</x:v>
      </x:c>
      <x:c r="V140" s="20" t="str">
        <x:v>厚朴</x:v>
      </x:c>
      <x:c r="W140" s="20" t="str">
        <x:v>Potentially traceable—named Chinese medicinal material recorded</x:v>
      </x:c>
      <x:c r="X140" s="20" t="str">
        <x:v>Named medicinal material in source extraction; author verification required</x:v>
      </x:c>
      <x:c r="Y140" s="20" t="str">
        <x:v>PMID 39471878; PMID39471878</x:v>
      </x:c>
      <x:c r="Z140" s="20" t="str">
        <x:v>Extract/formula/decoction contextual evidence</x:v>
      </x:c>
      <x:c r="AA140" s="20" t="str">
        <x:v>Row-level annotation; deduplicate by PMID for final reference-level counts</x:v>
      </x:c>
    </x:row>
    <x:row r="141">
      <x:c r="A141" s="20" t="str">
        <x:v>Eucalyptol</x:v>
      </x:c>
      <x:c r="B141" s="20" t="str">
        <x:v>Terpenoids</x:v>
      </x:c>
      <x:c r="C141" s="20" t="str">
        <x:v>薄荷精油、迷迭香精油</x:v>
      </x:c>
      <x:c r="D141" s="20" t="str">
        <x:v>HCT 116（人结直肠癌细胞）、HaCaT（非癌皮肤细胞）；体外实验</x:v>
      </x:c>
      <x:c r="E141" s="20" t="str">
        <x:v>In vitro</x:v>
      </x:c>
      <x:c r="F141" s="20" t="str">
        <x:v>not captured in source extraction</x:v>
      </x:c>
      <x:c r="G141" s="20" t="str">
        <x:v>not reported</x:v>
      </x:c>
      <x:c r="H141" s="20" t="str">
        <x:v>对不同癌细胞的抗菌、抗氧化、抗炎和细胞毒性</x:v>
      </x:c>
      <x:c r="I141" s="20" t="str">
        <x:v>not captured</x:v>
      </x:c>
      <x:c r="J141" s="20" t="str">
        <x:v>not reported</x:v>
      </x:c>
      <x:c r="K141" s="20" t="str">
        <x:v>not reported</x:v>
      </x:c>
      <x:c r="L141" s="20" t="str">
        <x:v>Level 3: cell-based mechanistic evidence</x:v>
      </x:c>
      <x:c r="M141" s="20" t="str">
        <x:v>ROS/ferroptosis</x:v>
      </x:c>
      <x:c r="N141" s="20" t="str">
        <x:v>36144839</x:v>
      </x:c>
      <x:c r="O141" s="20" t="str">
        <x:v>not available</x:v>
      </x:c>
      <x:c r="P141" s="20" t="str">
        <x:v>Eucalyptol\140-36144839-Chemical and Antimicrobial Character Source Molecules SO 2022.pdf</x:v>
      </x:c>
      <x:c r="Q141" s="20" t="str">
        <x:v>not retained - incomplete bibliographic metadata</x:v>
      </x:c>
      <x:c r="R141" s="20" t="str">
        <x:v>Excluded: incomplete bibliographic title requiring verification</x:v>
      </x:c>
      <x:c r="S141" s="20" t="str">
        <x:v>2022</x:v>
      </x:c>
      <x:c r="T141" s="20" t="str">
        <x:v>2022/09/19</x:v>
      </x:c>
      <x:c r="U141" s="20" t="str">
        <x:v>Eucalyptol</x:v>
      </x:c>
      <x:c r="V141" s="20" t="str">
        <x:v>薄荷精油、迷迭香精油</x:v>
      </x:c>
      <x:c r="W141" s="20" t="str">
        <x:v>Not established from supplied source field</x:v>
      </x:c>
      <x:c r="X141" s="20" t="str">
        <x:v>Generic botanical, dietary, computational, or unspecified association</x:v>
      </x:c>
      <x:c r="Y141" s="20" t="str">
        <x:v>PMID 36144839; not available</x:v>
      </x:c>
      <x:c r="Z141" s="20" t="str">
        <x:v>Not assessed for final attribution (excluded record)</x:v>
      </x:c>
      <x:c r="AA141" s="20" t="str">
        <x:v>Row-level annotation; deduplicate by PMID for final reference-level counts</x:v>
      </x:c>
    </x:row>
    <x:row r="142">
      <x:c r="A142" s="20" t="str">
        <x:v>Eucalyptol</x:v>
      </x:c>
      <x:c r="B142" s="20" t="str">
        <x:v>Terpenoids</x:v>
      </x:c>
      <x:c r="C142" s="20" t="str">
        <x:v>S. fruticosa essential oil (EO)/Essential oils (EOs) of Salvia fruticosa Mill. 迷迭香状鼠尾草精油</x:v>
      </x:c>
      <x:c r="D142" s="20" t="str">
        <x:v>Caco-2（结直肠癌）、HeLa（宫颈癌）细胞系；Klebsiella pneumoniae 细菌；体外模型（MTT、粘附、迁移实验）</x:v>
      </x:c>
      <x:c r="E142" s="20" t="str">
        <x:v>In vitro</x:v>
      </x:c>
      <x:c r="F142" s="20" t="str">
        <x:v>not captured in source extraction</x:v>
      </x:c>
      <x:c r="G142" s="20" t="str">
        <x:v>not reported</x:v>
      </x:c>
      <x:c r="H142" s="20" t="str">
        <x:v>抑制癌细胞迁移（抗转移）、抑制细菌粘附、强细胞毒性</x:v>
      </x:c>
      <x:c r="I142" s="20" t="str">
        <x:v>not captured</x:v>
      </x:c>
      <x:c r="J142" s="20" t="str">
        <x:v>not reported</x:v>
      </x:c>
      <x:c r="K142" s="20" t="str">
        <x:v>not reported</x:v>
      </x:c>
      <x:c r="L142" s="20" t="str">
        <x:v>Contextual mixture/formulation evidence</x:v>
      </x:c>
      <x:c r="M142" s="20" t="str">
        <x:v>EMT/ECM/metastasis</x:v>
      </x:c>
      <x:c r="N142" s="20" t="str">
        <x:v>35167185</x:v>
      </x:c>
      <x:c r="O142" s="20" t="str">
        <x:v>PMID35167185</x:v>
      </x:c>
      <x:c r="P142" s="20" t="str">
        <x:v>Eucalyptol\141-35167185-Constituents Antibacterial Adhesion Cytotoxic Source Chem Biodivers 2022 Apr 19 4 e202100872.PDF</x:v>
      </x:c>
      <x:c r="Q142" s="20" t="str">
        <x:v>Constituents, Antibacterial Adhesion, Cytotoxic and in Vitro Metastasis Blocking Properties of Salvia fruticosa Essential Oils from Three Palestinian Localities.</x:v>
      </x:c>
      <x:c r="R142" s="20" t="str">
        <x:v>Included</x:v>
      </x:c>
      <x:c r="S142" s="20" t="str">
        <x:v>2022</x:v>
      </x:c>
      <x:c r="T142" s="20" t="str">
        <x:v>2022/04/01</x:v>
      </x:c>
      <x:c r="U142" s="20" t="str">
        <x:v>Eucalyptol</x:v>
      </x:c>
      <x:c r="V142" s="20" t="str">
        <x:v>S. fruticosa essential oil (EO)/Essential oils (EOs) of Salvia fruticosa Mill. 迷迭香状鼠尾草精油</x:v>
      </x:c>
      <x:c r="W142" s="20" t="str">
        <x:v>Not established from supplied source field</x:v>
      </x:c>
      <x:c r="X142" s="20" t="str">
        <x:v>Generic botanical, dietary, computational, or unspecified association</x:v>
      </x:c>
      <x:c r="Y142" s="20" t="str">
        <x:v>PMID 35167185; PMID35167185</x:v>
      </x:c>
      <x:c r="Z142" s="20" t="str">
        <x:v>Extract/formula/decoction contextual evidence</x:v>
      </x:c>
      <x:c r="AA142" s="20" t="str">
        <x:v>Row-level annotation; deduplicate by PMID for final reference-level counts</x:v>
      </x:c>
    </x:row>
    <x:row r="143">
      <x:c r="A143" s="20" t="str">
        <x:v>Obovatol</x:v>
      </x:c>
      <x:c r="B143" s="20" t="str">
        <x:v>Neolignans</x:v>
      </x:c>
      <x:c r="C143" s="20" t="str">
        <x:v>厚朴</x:v>
      </x:c>
      <x:c r="D143" s="20" t="str">
        <x:v>动物实验（体内）；HCT116 细胞和 Caco-2 细胞（体外）</x:v>
      </x:c>
      <x:c r="E143" s="20" t="str">
        <x:v>In vitro + in vivo</x:v>
      </x:c>
      <x:c r="F143" s="20" t="str">
        <x:v>not captured in source extraction</x:v>
      </x:c>
      <x:c r="G143" s="20" t="str">
        <x:v>通过抑制 NF-κBp65/JAK 和 Bcl-2/Caspase 信号通路的过度激活来抵消 CRC</x:v>
      </x:c>
      <x:c r="H143" s="20" t="str">
        <x:v>抑制炎症、抑制肿瘤细胞增殖</x:v>
      </x:c>
      <x:c r="I143" s="20" t="str">
        <x:v>not captured</x:v>
      </x:c>
      <x:c r="J143" s="20" t="str">
        <x:v>not reported</x:v>
      </x:c>
      <x:c r="K143" s="20" t="str">
        <x:v>not reported</x:v>
      </x:c>
      <x:c r="L143" s="20" t="str">
        <x:v>Level 1: animal-validated mechanistic evidence</x:v>
      </x:c>
      <x:c r="M143" s="20" t="str">
        <x:v>Apoptosis/cell cycle; NF-kB/STAT3/inflammation</x:v>
      </x:c>
      <x:c r="N143" s="20" t="str">
        <x:v>39471878</x:v>
      </x:c>
      <x:c r="O143" s="20" t="str">
        <x:v>PMID39471878</x:v>
      </x:c>
      <x:c r="P143" s="20" t="str">
        <x:v>Eucalyptol\139-39471878-Effect and mechanism of Magnolia off Source J Ethnopharmacol SO 2024.pdf</x:v>
      </x:c>
      <x:c r="Q143" s="20" t="str">
        <x:v>Effect and mechanism of Magnolia officinalis in colorectal cancer: Multi-component-multi-target approach.</x:v>
      </x:c>
      <x:c r="R143" s="20" t="str">
        <x:v>Included</x:v>
      </x:c>
      <x:c r="S143" s="20" t="str">
        <x:v>2025</x:v>
      </x:c>
      <x:c r="T143" s="20" t="str">
        <x:v>2025/02/10</x:v>
      </x:c>
      <x:c r="U143" s="20" t="str">
        <x:v>Obovatol</x:v>
      </x:c>
      <x:c r="V143" s="20" t="str">
        <x:v>厚朴</x:v>
      </x:c>
      <x:c r="W143" s="20" t="str">
        <x:v>Potentially traceable—named Chinese medicinal material recorded</x:v>
      </x:c>
      <x:c r="X143" s="20" t="str">
        <x:v>Named medicinal material in source extraction; author verification required</x:v>
      </x:c>
      <x:c r="Y143" s="20" t="str">
        <x:v>PMID 39471878; PMID39471878</x:v>
      </x:c>
      <x:c r="Z143" s="20" t="str">
        <x:v>Extract/formula/decoction contextual evidence</x:v>
      </x:c>
      <x:c r="AA143" s="20" t="str">
        <x:v>Row-level annotation; deduplicate by PMID for final reference-level counts</x:v>
      </x:c>
    </x:row>
    <x:row r="144">
      <x:c r="A144" s="20" t="str">
        <x:v>Magnolol</x:v>
      </x:c>
      <x:c r="B144" s="20" t="str">
        <x:v>Neolignans</x:v>
      </x:c>
      <x:c r="C144" s="20" t="str">
        <x:v>黄芩厚朴汤</x:v>
      </x:c>
      <x:c r="D144" s="20" t="str">
        <x:v>体外和体内实验</x:v>
      </x:c>
      <x:c r="E144" s="20" t="str">
        <x:v>In vitro + in vivo</x:v>
      </x:c>
      <x:c r="F144" s="20" t="str">
        <x:v>not captured in source extraction</x:v>
      </x:c>
      <x:c r="G144" s="20" t="str">
        <x:v>GSDME依赖性焦亡通路</x:v>
      </x:c>
      <x:c r="H144" s="20" t="str">
        <x:v>诱导GSDME依赖性焦亡，增强结肠癌细胞对PD-1免疫治疗的敏感性</x:v>
      </x:c>
      <x:c r="I144" s="20" t="str">
        <x:v>not captured</x:v>
      </x:c>
      <x:c r="J144" s="20" t="str">
        <x:v>not reported</x:v>
      </x:c>
      <x:c r="K144" s="20" t="str">
        <x:v>not reported</x:v>
      </x:c>
      <x:c r="L144" s="20" t="str">
        <x:v>Level 1: animal-validated mechanistic evidence</x:v>
      </x:c>
      <x:c r="M144" s="20" t="str">
        <x:v>Immune microenvironment</x:v>
      </x:c>
      <x:c r="N144" s="20" t="str">
        <x:v>39950759</x:v>
      </x:c>
      <x:c r="O144" s="20" t="str">
        <x:v>PMID39950759</x:v>
      </x:c>
      <x:c r="P144" s="20" t="str">
        <x:v>Honokiol\146-39950759-Honokiol Magnolol Baicalin Possesses Source Adv Sci Weinh SO 2025 (1).pdf</x:v>
      </x:c>
      <x:c r="Q144" s="20" t="str">
        <x:v>Honokiol-Magnolol-Baicalin Possesses Synergistic Anticancer Potential and Enhances the Efficacy of Anti-PD-1 Immunotherapy in Colorectal Cancer by Triggering GSDME-Dependent Pyroptosis.</x:v>
      </x:c>
      <x:c r="R144" s="20" t="str">
        <x:v>Included</x:v>
      </x:c>
      <x:c r="S144" s="20" t="str">
        <x:v>2025</x:v>
      </x:c>
      <x:c r="T144" s="20" t="str">
        <x:v>2025/04/01</x:v>
      </x:c>
      <x:c r="U144" s="20" t="str">
        <x:v>Magnolol</x:v>
      </x:c>
      <x:c r="V144" s="20" t="str">
        <x:v>黄芩厚朴汤</x:v>
      </x:c>
      <x:c r="W144" s="20" t="str">
        <x:v>Potentially traceable—named Chinese medicinal material recorded</x:v>
      </x:c>
      <x:c r="X144" s="20" t="str">
        <x:v>Named medicinal material in source extraction; author verification required</x:v>
      </x:c>
      <x:c r="Y144" s="20" t="str">
        <x:v>PMID 39950759; PMID39950759</x:v>
      </x:c>
      <x:c r="Z144" s="20" t="str">
        <x:v>Extract/formula/decoction contextual evidence</x:v>
      </x:c>
      <x:c r="AA144" s="20" t="str">
        <x:v>Row-level annotation; deduplicate by PMID for final reference-level counts</x:v>
      </x:c>
    </x:row>
    <x:row r="145">
      <x:c r="A145" s="20" t="str">
        <x:v>Magnolol</x:v>
      </x:c>
      <x:c r="B145" s="20" t="str">
        <x:v>Neolignans</x:v>
      </x:c>
      <x:c r="C145" s="20" t="str">
        <x:v>厚朴</x:v>
      </x:c>
      <x:c r="D145" s="20" t="str">
        <x:v>动物实验（体内）；HCT116 细胞和 Caco-2 细胞（体外）</x:v>
      </x:c>
      <x:c r="E145" s="20" t="str">
        <x:v>In vitro + in vivo</x:v>
      </x:c>
      <x:c r="F145" s="20" t="str">
        <x:v>not captured in source extraction</x:v>
      </x:c>
      <x:c r="G145" s="20" t="str">
        <x:v>通过抑制 NF-κBp65/JAK 和 Bcl-2/Caspase 信号通路的过度激活来抵消 CRC</x:v>
      </x:c>
      <x:c r="H145" s="20" t="str">
        <x:v>抑制炎症、抑制肿瘤细胞增殖</x:v>
      </x:c>
      <x:c r="I145" s="20" t="str">
        <x:v>not captured</x:v>
      </x:c>
      <x:c r="J145" s="20" t="str">
        <x:v>not reported</x:v>
      </x:c>
      <x:c r="K145" s="20" t="str">
        <x:v>not reported</x:v>
      </x:c>
      <x:c r="L145" s="20" t="str">
        <x:v>Level 1: animal-validated mechanistic evidence</x:v>
      </x:c>
      <x:c r="M145" s="20" t="str">
        <x:v>Apoptosis/cell cycle; NF-kB/STAT3/inflammation</x:v>
      </x:c>
      <x:c r="N145" s="20" t="str">
        <x:v>39471878</x:v>
      </x:c>
      <x:c r="O145" s="20" t="str">
        <x:v>PMID39471878</x:v>
      </x:c>
      <x:c r="P145" s="20" t="str">
        <x:v>Eucalyptol\139-39471878-Effect and mechanism of Magnolia off Source J Ethnopharmacol SO 2024.pdf</x:v>
      </x:c>
      <x:c r="Q145" s="20" t="str">
        <x:v>Effect and mechanism of Magnolia officinalis in colorectal cancer: Multi-component-multi-target approach.</x:v>
      </x:c>
      <x:c r="R145" s="20" t="str">
        <x:v>Included</x:v>
      </x:c>
      <x:c r="S145" s="20" t="str">
        <x:v>2025</x:v>
      </x:c>
      <x:c r="T145" s="20" t="str">
        <x:v>2025/02/10</x:v>
      </x:c>
      <x:c r="U145" s="20" t="str">
        <x:v>Magnolol</x:v>
      </x:c>
      <x:c r="V145" s="20" t="str">
        <x:v>厚朴</x:v>
      </x:c>
      <x:c r="W145" s="20" t="str">
        <x:v>Potentially traceable—named Chinese medicinal material recorded</x:v>
      </x:c>
      <x:c r="X145" s="20" t="str">
        <x:v>Named medicinal material in source extraction; author verification required</x:v>
      </x:c>
      <x:c r="Y145" s="20" t="str">
        <x:v>PMID 39471878; PMID39471878</x:v>
      </x:c>
      <x:c r="Z145" s="20" t="str">
        <x:v>Extract/formula/decoction contextual evidence</x:v>
      </x:c>
      <x:c r="AA145" s="20" t="str">
        <x:v>Row-level annotation; deduplicate by PMID for final reference-level counts</x:v>
      </x:c>
    </x:row>
    <x:row r="146">
      <x:c r="A146" s="20" t="str">
        <x:v>Magnolol</x:v>
      </x:c>
      <x:c r="B146" s="20" t="str">
        <x:v>Neolignans</x:v>
      </x:c>
      <x:c r="C146" s="20" t="str">
        <x:v>厚朴的根以及茎皮</x:v>
      </x:c>
      <x:c r="D146" s="20" t="str">
        <x:v>体外模型：结直肠癌细胞系，体内：小鼠肿瘤异种移植模型</x:v>
      </x:c>
      <x:c r="E146" s="20" t="str">
        <x:v>In vitro + in vivo</x:v>
      </x:c>
      <x:c r="F146" s="20" t="str">
        <x:v>not captured in source extraction</x:v>
      </x:c>
      <x:c r="G146" s="20" t="str">
        <x:v>p53通路</x:v>
      </x:c>
      <x:c r="H146" s="20" t="str">
        <x:v>诱导凋亡；抑制糖酵解/OXPHOS；降低Kyn/Trp比率；抑制肿瘤生长</x:v>
      </x:c>
      <x:c r="I146" s="20" t="str">
        <x:v>not captured</x:v>
      </x:c>
      <x:c r="J146" s="20" t="str">
        <x:v>not reported</x:v>
      </x:c>
      <x:c r="K146" s="20" t="str">
        <x:v>not reported</x:v>
      </x:c>
      <x:c r="L146" s="20" t="str">
        <x:v>Level 1: animal-validated mechanistic evidence</x:v>
      </x:c>
      <x:c r="M146" s="20" t="str">
        <x:v>Apoptosis/cell cycle; PI3K/Akt/mTOR/metabolism</x:v>
      </x:c>
      <x:c r="N146" s="20" t="str">
        <x:v>37326338</x:v>
      </x:c>
      <x:c r="O146" s="20" t="str">
        <x:v>PMID37326338</x:v>
      </x:c>
      <x:c r="P146" s="20" t="str">
        <x:v>Magnolol\145-37326338-Dual targeting of wild type p53 and Source Phytother Res SO 2023.pdf</x:v>
      </x:c>
      <x:c r="Q146" s="20" t="str">
        <x:v>Dual targeting of wild-type p53 and gut microbiota by Magnolol represses key metabolic process and kills CRC cells.</x:v>
      </x:c>
      <x:c r="R146" s="20" t="str">
        <x:v>Included</x:v>
      </x:c>
      <x:c r="S146" s="20" t="str">
        <x:v>2024</x:v>
      </x:c>
      <x:c r="T146" s="20" t="str">
        <x:v>2024/10/01</x:v>
      </x:c>
      <x:c r="U146" s="20" t="str">
        <x:v>Magnolol</x:v>
      </x:c>
      <x:c r="V146" s="20" t="str">
        <x:v>厚朴的根以及茎皮</x:v>
      </x:c>
      <x:c r="W146" s="20" t="str">
        <x:v>Potentially traceable—named Chinese medicinal material recorded</x:v>
      </x:c>
      <x:c r="X146" s="20" t="str">
        <x:v>Named medicinal material in source extraction; author verification required</x:v>
      </x:c>
      <x:c r="Y146" s="20" t="str">
        <x:v>PMID 37326338; PMID37326338</x:v>
      </x:c>
      <x:c r="Z146" s="20" t="str">
        <x:v>Purified isolated compound: Magnolol</x:v>
      </x:c>
      <x:c r="AA146" s="20" t="str">
        <x:v>Row-level annotation; deduplicate by PMID for final reference-level counts</x:v>
      </x:c>
    </x:row>
    <x:row r="147">
      <x:c r="A147" s="20" t="str">
        <x:v>Honokiol</x:v>
      </x:c>
      <x:c r="B147" s="20" t="str">
        <x:v>Neolignans</x:v>
      </x:c>
      <x:c r="C147" s="20" t="str">
        <x:v>黄芩厚朴汤</x:v>
      </x:c>
      <x:c r="D147" s="20" t="str">
        <x:v>体外和体内实验</x:v>
      </x:c>
      <x:c r="E147" s="20" t="str">
        <x:v>In vitro + in vivo</x:v>
      </x:c>
      <x:c r="F147" s="20" t="str">
        <x:v>not captured in source extraction</x:v>
      </x:c>
      <x:c r="G147" s="20" t="str">
        <x:v>GSDME依赖性焦亡通路</x:v>
      </x:c>
      <x:c r="H147" s="20" t="str">
        <x:v>诱导GSDME依赖性焦亡，增强结肠癌细胞对PD-1免疫治疗的敏感性</x:v>
      </x:c>
      <x:c r="I147" s="20" t="str">
        <x:v>not captured</x:v>
      </x:c>
      <x:c r="J147" s="20" t="str">
        <x:v>not reported</x:v>
      </x:c>
      <x:c r="K147" s="20" t="str">
        <x:v>not reported</x:v>
      </x:c>
      <x:c r="L147" s="20" t="str">
        <x:v>Level 1: animal-validated mechanistic evidence</x:v>
      </x:c>
      <x:c r="M147" s="20" t="str">
        <x:v>Immune microenvironment</x:v>
      </x:c>
      <x:c r="N147" s="20" t="str">
        <x:v>39950759</x:v>
      </x:c>
      <x:c r="O147" s="20" t="str">
        <x:v>PMID39950759</x:v>
      </x:c>
      <x:c r="P147" s="20" t="str">
        <x:v>Honokiol\146-39950759-Honokiol Magnolol Baicalin Possesses Source Adv Sci Weinh SO 2025 (1).pdf</x:v>
      </x:c>
      <x:c r="Q147" s="20" t="str">
        <x:v>Honokiol-Magnolol-Baicalin Possesses Synergistic Anticancer Potential and Enhances the Efficacy of Anti-PD-1 Immunotherapy in Colorectal Cancer by Triggering GSDME-Dependent Pyroptosis.</x:v>
      </x:c>
      <x:c r="R147" s="20" t="str">
        <x:v>Included</x:v>
      </x:c>
      <x:c r="S147" s="20" t="str">
        <x:v>2025</x:v>
      </x:c>
      <x:c r="T147" s="20" t="str">
        <x:v>2025/04/01</x:v>
      </x:c>
      <x:c r="U147" s="20" t="str">
        <x:v>Honokiol</x:v>
      </x:c>
      <x:c r="V147" s="20" t="str">
        <x:v>黄芩厚朴汤</x:v>
      </x:c>
      <x:c r="W147" s="20" t="str">
        <x:v>Yes—directly traceable in supplied records</x:v>
      </x:c>
      <x:c r="X147" s="20" t="str">
        <x:v>Constituent of Houpo (Magnolia officinalis)</x:v>
      </x:c>
      <x:c r="Y147" s="20" t="str">
        <x:v>PMID 39950759; PMID39950759</x:v>
      </x:c>
      <x:c r="Z147" s="20" t="str">
        <x:v>Extract/formula/decoction contextual evidence</x:v>
      </x:c>
      <x:c r="AA147" s="20" t="str">
        <x:v>Row-level annotation; deduplicate by PMID for final reference-level counts</x:v>
      </x:c>
    </x:row>
    <x:row r="148">
      <x:c r="A148" s="20" t="str">
        <x:v>Honokiol</x:v>
      </x:c>
      <x:c r="B148" s="20" t="str">
        <x:v>Neolignans</x:v>
      </x:c>
      <x:c r="C148" s="20" t="str">
        <x:v>厚朴</x:v>
      </x:c>
      <x:c r="D148" s="20" t="str">
        <x:v>体外：KRAS突变CRC细胞；体内：KRASG13D突变CRC动物模型</x:v>
      </x:c>
      <x:c r="E148" s="20" t="str">
        <x:v>In vitro + in vivo</x:v>
      </x:c>
      <x:c r="F148" s="20" t="str">
        <x:v>20 µM honokiol for 48 h in the initial CRC cell screen</x:v>
      </x:c>
      <x:c r="G148" s="20" t="str">
        <x:v>① 抑制 SNX3-retromer 囊泡运输；② 抑制 RAS GDP→GTP 转换</x:v>
      </x:c>
      <x:c r="H148" s="20" t="str">
        <x:v>抑制自噬/巨胞饮流、溶酶体功能受损、细胞凋亡增加、增殖受抑、增强cetuximab敏感性</x:v>
      </x:c>
      <x:c r="I148" s="20" t="str">
        <x:v>not captured</x:v>
      </x:c>
      <x:c r="J148" s="20" t="str">
        <x:v>not reported</x:v>
      </x:c>
      <x:c r="K148" s="20" t="str">
        <x:v>not reported</x:v>
      </x:c>
      <x:c r="L148" s="20" t="str">
        <x:v>Level 1: animal-validated mechanistic evidence</x:v>
      </x:c>
      <x:c r="M148" s="20" t="str">
        <x:v>Apoptosis/cell cycle</x:v>
      </x:c>
      <x:c r="N148" s="20" t="str">
        <x:v>39310106</x:v>
      </x:c>
      <x:c r="O148" s="20" t="str">
        <x:v>PMID39310106</x:v>
      </x:c>
      <x:c r="P148" s="20" t="str">
        <x:v>Honokiol\147-39310106-Honokiol enhances the sensitivity of Source Theranostics SO 2024.pdf</x:v>
      </x:c>
      <x:c r="Q148" s="20" t="str">
        <x:v>Honokiol enhances the sensitivity of cetuximab in KRASG13D mutant colorectal cancer by destroying SNX3-retromer.</x:v>
      </x:c>
      <x:c r="R148" s="20" t="str">
        <x:v>Included</x:v>
      </x:c>
      <x:c r="S148" s="20" t="str">
        <x:v>2024</x:v>
      </x:c>
      <x:c r="T148" s="20" t="str">
        <x:v>2024/08/26</x:v>
      </x:c>
      <x:c r="U148" s="20" t="str">
        <x:v>Honokiol</x:v>
      </x:c>
      <x:c r="V148" s="20" t="str">
        <x:v>厚朴</x:v>
      </x:c>
      <x:c r="W148" s="20" t="str">
        <x:v>Yes—directly traceable in supplied records</x:v>
      </x:c>
      <x:c r="X148" s="20" t="str">
        <x:v>Constituent of Houpo (Magnolia officinalis)</x:v>
      </x:c>
      <x:c r="Y148" s="20" t="str">
        <x:v>PMID 39310106; PMID39310106</x:v>
      </x:c>
      <x:c r="Z148" s="20" t="str">
        <x:v>Purified isolated compound: Honokiol</x:v>
      </x:c>
      <x:c r="AA148" s="20" t="str">
        <x:v>Row-level annotation; deduplicate by PMID for final reference-level counts</x:v>
      </x:c>
    </x:row>
    <x:row r="149">
      <x:c r="A149" s="20" t="str">
        <x:v>Honokiol</x:v>
      </x:c>
      <x:c r="B149" s="20" t="str">
        <x:v>Neolignans</x:v>
      </x:c>
      <x:c r="C149" s="20" t="str">
        <x:v>厚朴</x:v>
      </x:c>
      <x:c r="D149" s="20" t="str">
        <x:v>男性无胸腺裸体小鼠</x:v>
      </x:c>
      <x:c r="E149" s="20" t="str">
        <x:v>In vivo</x:v>
      </x:c>
      <x:c r="F149" s="20" t="str">
        <x:v>not captured in source extraction</x:v>
      </x:c>
      <x:c r="G149" s="20" t="str">
        <x:v>Notch 信号通路</x:v>
      </x:c>
      <x:c r="H149" s="20" t="str">
        <x:v>↓Notch 信号通路 ↓细胞增殖和集落形成 ，↓DCLK1、Lgr5、CD44、CD133 和 SOX9 ，↑细胞凋亡和对 IR 的敏感性</x:v>
      </x:c>
      <x:c r="I149" s="20" t="str">
        <x:v>yes</x:v>
      </x:c>
      <x:c r="J149" s="20" t="str">
        <x:v>not reported</x:v>
      </x:c>
      <x:c r="K149" s="20" t="str">
        <x:v>not reported</x:v>
      </x:c>
      <x:c r="L149" s="20" t="str">
        <x:v>Level 2: in vivo evidence</x:v>
      </x:c>
      <x:c r="M149" s="20" t="str">
        <x:v>Apoptosis/cell cycle; Wnt/beta-catenin/stemness</x:v>
      </x:c>
      <x:c r="N149" s="20" t="str">
        <x:v>36375238</x:v>
      </x:c>
      <x:c r="O149" s="20" t="str">
        <x:v>PMID36375238</x:v>
      </x:c>
      <x:c r="P149" s="20" t="str">
        <x:v>caffeic acid\240-36375238-targeting cancer stem cells and sign source phytomedicine so 2023.pdf</x:v>
      </x:c>
      <x:c r="Q149" s="20" t="str">
        <x:v>Targeting cancer stem cells and signalling pathways through phytochemicals: A promising approach against colorectal cancer.</x:v>
      </x:c>
      <x:c r="R149" s="20" t="str">
        <x:v>Included</x:v>
      </x:c>
      <x:c r="S149" s="20" t="str">
        <x:v>2023</x:v>
      </x:c>
      <x:c r="T149" s="20" t="str">
        <x:v>2023/01/01</x:v>
      </x:c>
      <x:c r="U149" s="20" t="str">
        <x:v>Honokiol</x:v>
      </x:c>
      <x:c r="V149" s="20" t="str">
        <x:v>厚朴</x:v>
      </x:c>
      <x:c r="W149" s="20" t="str">
        <x:v>Yes—directly traceable in supplied records</x:v>
      </x:c>
      <x:c r="X149" s="20" t="str">
        <x:v>Constituent of Houpo (Magnolia officinalis)</x:v>
      </x:c>
      <x:c r="Y149" s="20" t="str">
        <x:v>PMID 36375238; PMID36375238</x:v>
      </x:c>
      <x:c r="Z149" s="20" t="str">
        <x:v>Review/background evidence</x:v>
      </x:c>
      <x:c r="AA149" s="20" t="str">
        <x:v>Row-level annotation; deduplicate by PMID for final reference-level counts</x:v>
      </x:c>
    </x:row>
    <x:row r="150">
      <x:c r="A150" s="20" t="str">
        <x:v>Honokiol</x:v>
      </x:c>
      <x:c r="B150" s="20" t="str">
        <x:v>Neolignans</x:v>
      </x:c>
      <x:c r="C150" s="20" t="str">
        <x:v>厚朴</x:v>
      </x:c>
      <x:c r="D150" s="20" t="str">
        <x:v>动物实验（体内）；HCT116 细胞和 Caco-2 细胞（体外）</x:v>
      </x:c>
      <x:c r="E150" s="20" t="str">
        <x:v>In vitro + in vivo</x:v>
      </x:c>
      <x:c r="F150" s="20" t="str">
        <x:v>not captured in source extraction</x:v>
      </x:c>
      <x:c r="G150" s="20" t="str">
        <x:v>通过抑制 NF-κBp65/JAK 和 Bcl-2/Caspase 信号通路的过度激活来抵消 CRC</x:v>
      </x:c>
      <x:c r="H150" s="20" t="str">
        <x:v>抑制炎症、抑制肿瘤细胞增殖</x:v>
      </x:c>
      <x:c r="I150" s="20" t="str">
        <x:v>not captured</x:v>
      </x:c>
      <x:c r="J150" s="20" t="str">
        <x:v>not reported</x:v>
      </x:c>
      <x:c r="K150" s="20" t="str">
        <x:v>not reported</x:v>
      </x:c>
      <x:c r="L150" s="20" t="str">
        <x:v>Level 1: animal-validated mechanistic evidence</x:v>
      </x:c>
      <x:c r="M150" s="20" t="str">
        <x:v>Apoptosis/cell cycle; NF-kB/STAT3/inflammation</x:v>
      </x:c>
      <x:c r="N150" s="20" t="str">
        <x:v>39471878</x:v>
      </x:c>
      <x:c r="O150" s="20" t="str">
        <x:v>PMID39471878</x:v>
      </x:c>
      <x:c r="P150" s="20" t="str">
        <x:v>Eucalyptol\139-39471878-Effect and mechanism of Magnolia off Source J Ethnopharmacol SO 2024.pdf</x:v>
      </x:c>
      <x:c r="Q150" s="20" t="str">
        <x:v>Effect and mechanism of Magnolia officinalis in colorectal cancer: Multi-component-multi-target approach.</x:v>
      </x:c>
      <x:c r="R150" s="20" t="str">
        <x:v>Included</x:v>
      </x:c>
      <x:c r="S150" s="20" t="str">
        <x:v>2025</x:v>
      </x:c>
      <x:c r="T150" s="20" t="str">
        <x:v>2025/02/10</x:v>
      </x:c>
      <x:c r="U150" s="20" t="str">
        <x:v>Honokiol</x:v>
      </x:c>
      <x:c r="V150" s="20" t="str">
        <x:v>厚朴</x:v>
      </x:c>
      <x:c r="W150" s="20" t="str">
        <x:v>Yes—directly traceable in supplied records</x:v>
      </x:c>
      <x:c r="X150" s="20" t="str">
        <x:v>Constituent of Houpo (Magnolia officinalis)</x:v>
      </x:c>
      <x:c r="Y150" s="20" t="str">
        <x:v>PMID 39471878; PMID39471878</x:v>
      </x:c>
      <x:c r="Z150" s="20" t="str">
        <x:v>Extract/formula/decoction contextual evidence</x:v>
      </x:c>
      <x:c r="AA150" s="20" t="str">
        <x:v>Row-level annotation; deduplicate by PMID for final reference-level counts</x:v>
      </x:c>
    </x:row>
    <x:row r="151">
      <x:c r="A151" s="20" t="str">
        <x:v>Honokiol</x:v>
      </x:c>
      <x:c r="B151" s="20" t="str">
        <x:v>Neolignans</x:v>
      </x:c>
      <x:c r="C151" s="20" t="str">
        <x:v>木兰树</x:v>
      </x:c>
      <x:c r="D151" s="20" t="str">
        <x:v>HEK293(Ano1/Ano2过表达)， SW620 细胞或人肠上皮 NCM460 细胞，</x:v>
      </x:c>
      <x:c r="E151" s="20" t="str">
        <x:v>In vitro</x:v>
      </x:c>
      <x:c r="F151" s="20" t="str">
        <x:v>not captured in source extraction</x:v>
      </x:c>
      <x:c r="G151" s="20" t="str">
        <x:v>Honokiol → 抑制Ano1 Cl⁻通道 → 抑制结直肠癌细胞增殖</x:v>
      </x:c>
      <x:c r="H151" s="20" t="str">
        <x:v>抑制Ano1电流、抑制癌细胞增殖、突变降低药物敏感性</x:v>
      </x:c>
      <x:c r="I151" s="20" t="str">
        <x:v>not captured</x:v>
      </x:c>
      <x:c r="J151" s="20" t="str">
        <x:v>not reported</x:v>
      </x:c>
      <x:c r="K151" s="20" t="str">
        <x:v>not reported</x:v>
      </x:c>
      <x:c r="L151" s="20" t="str">
        <x:v>Level 3: cell-based mechanistic evidence</x:v>
      </x:c>
      <x:c r="M151" s="20" t="str">
        <x:v>Immune microenvironment</x:v>
      </x:c>
      <x:c r="N151" s="20" t="str">
        <x:v>34192810</x:v>
      </x:c>
      <x:c r="O151" s="20" t="str">
        <x:v>PMID34192810</x:v>
      </x:c>
      <x:c r="P151" s="20" t="str">
        <x:v>Honokiol\150-34192810-Honokiol inhibits proliferation of colorectal canc.pdf</x:v>
      </x:c>
      <x:c r="Q151" s="20" t="str">
        <x:v>Honokiol inhibits proliferation of colorectal cancer cells by targeting Anoctamin 1/TMEM16A Ca2+-activated Cl- channels.</x:v>
      </x:c>
      <x:c r="R151" s="20" t="str">
        <x:v>Included</x:v>
      </x:c>
      <x:c r="S151" s="20" t="str">
        <x:v>2021</x:v>
      </x:c>
      <x:c r="T151" s="20" t="str">
        <x:v>2021/10/01</x:v>
      </x:c>
      <x:c r="U151" s="20" t="str">
        <x:v>Honokiol</x:v>
      </x:c>
      <x:c r="V151" s="20" t="str">
        <x:v>木兰树</x:v>
      </x:c>
      <x:c r="W151" s="20" t="str">
        <x:v>Yes—directly traceable in supplied records</x:v>
      </x:c>
      <x:c r="X151" s="20" t="str">
        <x:v>Constituent of Houpo (Magnolia officinalis)</x:v>
      </x:c>
      <x:c r="Y151" s="20" t="str">
        <x:v>PMID 34192810; PMID34192810</x:v>
      </x:c>
      <x:c r="Z151" s="20" t="str">
        <x:v>Purified isolated compound: Honokiol</x:v>
      </x:c>
      <x:c r="AA151" s="20" t="str">
        <x:v>Row-level annotation; deduplicate by PMID for final reference-level counts</x:v>
      </x:c>
    </x:row>
    <x:row r="152">
      <x:c r="A152" s="20" t="str">
        <x:v>Honokiol</x:v>
      </x:c>
      <x:c r="B152" s="20" t="str">
        <x:v>Neolignans</x:v>
      </x:c>
      <x:c r="C152" s="20" t="str">
        <x:v>厚朴</x:v>
      </x:c>
      <x:c r="D152" s="20" t="str">
        <x:v>ApcMin/+ 转基因小鼠模型（结直肠癌）</x:v>
      </x:c>
      <x:c r="E152" s="20" t="str">
        <x:v>In vivo</x:v>
      </x:c>
      <x:c r="F152" s="20" t="str">
        <x:v>not captured in source extraction</x:v>
      </x:c>
      <x:c r="G152" s="20" t="str">
        <x:v>TCA 循环</x:v>
      </x:c>
      <x:c r="H152" s="20" t="str">
        <x:v>调控多通路系统，改善代谢功能，缓解代谢紊乱</x:v>
      </x:c>
      <x:c r="I152" s="20" t="str">
        <x:v>yes</x:v>
      </x:c>
      <x:c r="J152" s="20" t="str">
        <x:v>not reported</x:v>
      </x:c>
      <x:c r="K152" s="20" t="str">
        <x:v>not reported</x:v>
      </x:c>
      <x:c r="L152" s="20" t="str">
        <x:v>Level 2: in vivo evidence</x:v>
      </x:c>
      <x:c r="M152" s="20" t="str">
        <x:v>not assigned</x:v>
      </x:c>
      <x:c r="N152" s="20" t="str">
        <x:v>34589420</x:v>
      </x:c>
      <x:c r="O152" s="20" t="str">
        <x:v>not available</x:v>
      </x:c>
      <x:c r="P152" s="20" t="str">
        <x:v>Honokiol\151-34589420-Ultra Performance Liquid Chromatogra Source Front Oncol SO 2021 11 671014.pdf</x:v>
      </x:c>
      <x:c r="Q152" s="20" t="str">
        <x:v>not retained - incomplete bibliographic metadata</x:v>
      </x:c>
      <x:c r="R152" s="20" t="str">
        <x:v>Excluded: incomplete bibliographic title requiring verification</x:v>
      </x:c>
      <x:c r="S152" s="20" t="str">
        <x:v>2021</x:v>
      </x:c>
      <x:c r="T152" s="20" t="str">
        <x:v>2021/09/13</x:v>
      </x:c>
      <x:c r="U152" s="20" t="str">
        <x:v>Honokiol</x:v>
      </x:c>
      <x:c r="V152" s="20" t="str">
        <x:v>厚朴</x:v>
      </x:c>
      <x:c r="W152" s="20" t="str">
        <x:v>Yes—directly traceable in supplied records</x:v>
      </x:c>
      <x:c r="X152" s="20" t="str">
        <x:v>Constituent of Houpo (Magnolia officinalis)</x:v>
      </x:c>
      <x:c r="Y152" s="20" t="str">
        <x:v>PMID 34589420; not available</x:v>
      </x:c>
      <x:c r="Z152" s="20" t="str">
        <x:v>Not assessed for final attribution (excluded record)</x:v>
      </x:c>
      <x:c r="AA152" s="20" t="str">
        <x:v>Row-level annotation; deduplicate by PMID for final reference-level counts</x:v>
      </x:c>
    </x:row>
    <x:row r="153">
      <x:c r="A153" s="20" t="str">
        <x:v>Honokiol</x:v>
      </x:c>
      <x:c r="B153" s="20" t="str">
        <x:v>Neolignans</x:v>
      </x:c>
      <x:c r="C153" s="20" t="str">
        <x:v>厚朴</x:v>
      </x:c>
      <x:c r="D153" s="20" t="str">
        <x:v>HCT116 结肠癌细胞</x:v>
      </x:c>
      <x:c r="E153" s="20" t="str">
        <x:v>In vitro</x:v>
      </x:c>
      <x:c r="F153" s="20" t="str">
        <x:v>not captured in source extraction</x:v>
      </x:c>
      <x:c r="G153" s="20" t="str">
        <x:v>直接抑制 YAP 蛋白的转录和表达，而不激活 Hippo 信号通路</x:v>
      </x:c>
      <x:c r="H153" s="20" t="str">
        <x:v>抑制增殖、G1期阻滞、诱导细胞死亡、下调YAP转录与表达</x:v>
      </x:c>
      <x:c r="I153" s="20" t="str">
        <x:v>not captured</x:v>
      </x:c>
      <x:c r="J153" s="20" t="str">
        <x:v>not reported</x:v>
      </x:c>
      <x:c r="K153" s="20" t="str">
        <x:v>not reported</x:v>
      </x:c>
      <x:c r="L153" s="20" t="str">
        <x:v>Level 3: cell-based mechanistic evidence</x:v>
      </x:c>
      <x:c r="M153" s="20" t="str">
        <x:v>not assigned</x:v>
      </x:c>
      <x:c r="N153" s="20" t="str">
        <x:v>38759254</x:v>
      </x:c>
      <x:c r="O153" s="20" t="str">
        <x:v>PMID38759254</x:v>
      </x:c>
      <x:c r="P153" s="20" t="str">
        <x:v>Honokiol\152-38759254-Semisynthesis and biological evaluat Source Bioorg Med Chem SO 2024.pdf</x:v>
      </x:c>
      <x:c r="Q153" s="20" t="str">
        <x:v>Semisynthesis and biological evaluation of novel honokiol thioethers against colon cancer cells HCT116 via inhibiting the transcription and expression of YAP protein.</x:v>
      </x:c>
      <x:c r="R153" s="20" t="str">
        <x:v>Included</x:v>
      </x:c>
      <x:c r="S153" s="20" t="str">
        <x:v>2024</x:v>
      </x:c>
      <x:c r="T153" s="20" t="str">
        <x:v>2024/06/01</x:v>
      </x:c>
      <x:c r="U153" s="20" t="str">
        <x:v>Honokiol</x:v>
      </x:c>
      <x:c r="V153" s="20" t="str">
        <x:v>厚朴</x:v>
      </x:c>
      <x:c r="W153" s="20" t="str">
        <x:v>Yes—directly traceable in supplied records</x:v>
      </x:c>
      <x:c r="X153" s="20" t="str">
        <x:v>Constituent of Houpo (Magnolia officinalis)</x:v>
      </x:c>
      <x:c r="Y153" s="20" t="str">
        <x:v>PMID 38759254; PMID38759254</x:v>
      </x:c>
      <x:c r="Z153" s="20" t="str">
        <x:v>Derivative/metabolite contextual evidence</x:v>
      </x:c>
      <x:c r="AA153" s="20" t="str">
        <x:v>Row-level annotation; deduplicate by PMID for final reference-level counts</x:v>
      </x:c>
    </x:row>
    <x:row r="154">
      <x:c r="A154" s="20" t="str">
        <x:v>Honokiol</x:v>
      </x:c>
      <x:c r="B154" s="20" t="str">
        <x:v>Neolignans</x:v>
      </x:c>
      <x:c r="C154" s="20" t="str">
        <x:v>木兰树皮</x:v>
      </x:c>
      <x:c r="D154" s="20" t="str">
        <x:v>p53通路</x:v>
      </x:c>
      <x:c r="E154" s="20" t="str">
        <x:v>Not specified</x:v>
      </x:c>
      <x:c r="F154" s="20" t="str">
        <x:v>not captured in source extraction</x:v>
      </x:c>
      <x:c r="G154" s="20" t="str">
        <x:v>增强抗肿瘤免疫、EPR介导的肿瘤靶向、自组装形成纳米颗粒</x:v>
      </x:c>
      <x:c r="H154" s="20" t="str">
        <x:v>not reported</x:v>
      </x:c>
      <x:c r="I154" s="20" t="str">
        <x:v>not captured</x:v>
      </x:c>
      <x:c r="J154" s="20" t="str">
        <x:v>not reported</x:v>
      </x:c>
      <x:c r="K154" s="20" t="str">
        <x:v>not reported</x:v>
      </x:c>
      <x:c r="L154" s="20" t="str">
        <x:v>Excluded: insufficient extractable evidence</x:v>
      </x:c>
      <x:c r="M154" s="20" t="str">
        <x:v>Immune microenvironment</x:v>
      </x:c>
      <x:c r="N154" s="20" t="str">
        <x:v>35045602</x:v>
      </x:c>
      <x:c r="O154" s="20" t="str">
        <x:v>PMID35045602</x:v>
      </x:c>
      <x:c r="P154" s="20" t="str">
        <x:v>Honokiol\153-35045602-Natural Small Molecules Enabled Efficient Immunotherapy through.pdf</x:v>
      </x:c>
      <x:c r="Q154" s="20" t="str">
        <x:v>Natural Small Molecules Enabled Efficient Immunotherapy through Supramolecular Self-Assembly in P53-Mutated Colorectal Cancer.</x:v>
      </x:c>
      <x:c r="R154" s="20" t="str">
        <x:v>Excluded: insufficient extractable evidence</x:v>
      </x:c>
      <x:c r="S154" s="20" t="str">
        <x:v>2022</x:v>
      </x:c>
      <x:c r="T154" s="20" t="str">
        <x:v>2022/01/19</x:v>
      </x:c>
      <x:c r="U154" s="20" t="str">
        <x:v>Honokiol</x:v>
      </x:c>
      <x:c r="V154" s="20" t="str">
        <x:v>木兰树皮</x:v>
      </x:c>
      <x:c r="W154" s="20" t="str">
        <x:v>Yes—directly traceable in supplied records</x:v>
      </x:c>
      <x:c r="X154" s="20" t="str">
        <x:v>Constituent of Houpo (Magnolia officinalis)</x:v>
      </x:c>
      <x:c r="Y154" s="20" t="str">
        <x:v>PMID 35045602; PMID35045602</x:v>
      </x:c>
      <x:c r="Z154" s="20" t="str">
        <x:v>Not assessed for final attribution (excluded record)</x:v>
      </x:c>
      <x:c r="AA154" s="20" t="str">
        <x:v>Row-level annotation; deduplicate by PMID for final reference-level counts</x:v>
      </x:c>
    </x:row>
    <x:row r="155">
      <x:c r="A155" s="20" t="str">
        <x:v>Honokiol</x:v>
      </x:c>
      <x:c r="B155" s="20" t="str">
        <x:v>Neolignans</x:v>
      </x:c>
      <x:c r="C155" s="20" t="str">
        <x:v>天然产物或具有有趣生物活性的合成化合物（nature products
or synthetic compounds with interesting biological activitie）</x:v>
      </x:c>
      <x:c r="D155" s="20" t="str">
        <x:v>体外：HCT116、COLO205、HT29、SW480（结直肠癌）等多种癌细胞系
体内：COLO205 异种移植小鼠模型</x:v>
      </x:c>
      <x:c r="E155" s="20" t="str">
        <x:v>In vitro + in vivo</x:v>
      </x:c>
      <x:c r="F155" s="20" t="str">
        <x:v>38%; 58%</x:v>
      </x:c>
      <x:c r="G155" s="20" t="str">
        <x:v>not reported</x:v>
      </x:c>
      <x:c r="H155" s="20" t="str">
        <x:v>化合物 2t 和 3t 显示出剂量和时间依赖性抗增殖作用，并显著抑制肿瘤生长（TGI 38%-58%）</x:v>
      </x:c>
      <x:c r="I155" s="20" t="str">
        <x:v>not captured</x:v>
      </x:c>
      <x:c r="J155" s="20" t="str">
        <x:v>not reported</x:v>
      </x:c>
      <x:c r="K155" s="20" t="str">
        <x:v>not reported</x:v>
      </x:c>
      <x:c r="L155" s="20" t="str">
        <x:v>Level 1: animal-validated mechanistic evidence</x:v>
      </x:c>
      <x:c r="M155" s="20" t="str">
        <x:v>not assigned</x:v>
      </x:c>
      <x:c r="N155" s="20" t="str">
        <x:v>37595397</x:v>
      </x:c>
      <x:c r="O155" s="20" t="str">
        <x:v>PMID37595397</x:v>
      </x:c>
      <x:c r="P155" s="20" t="str">
        <x:v>Honokiol\154-37595397-Design synthesis and anti tumor eff Source Bioorg Chem SO 2023.pdf</x:v>
      </x:c>
      <x:c r="Q155" s="20" t="str">
        <x:v>Design, synthesis and anti-tumor efficacy evaluation of novel 1,3-diaryl propane-based polyphenols obtained from Claisen rearrangement reaction.</x:v>
      </x:c>
      <x:c r="R155" s="20" t="str">
        <x:v>Included</x:v>
      </x:c>
      <x:c r="S155" s="20" t="str">
        <x:v>2023</x:v>
      </x:c>
      <x:c r="T155" s="20" t="str">
        <x:v>2023/11/01</x:v>
      </x:c>
      <x:c r="U155" s="20" t="str">
        <x:v>Honokiol</x:v>
      </x:c>
      <x:c r="V155" s="20" t="str">
        <x:v>天然产物或具有有趣生物活性的合成化合物（nature products
or synthetic compounds with interesting biological activitie）</x:v>
      </x:c>
      <x:c r="W155" s="20" t="str">
        <x:v>Yes—directly traceable in supplied records</x:v>
      </x:c>
      <x:c r="X155" s="20" t="str">
        <x:v>Constituent of Houpo (Magnolia officinalis)</x:v>
      </x:c>
      <x:c r="Y155" s="20" t="str">
        <x:v>PMID 37595397; PMID37595397</x:v>
      </x:c>
      <x:c r="Z155" s="20" t="str">
        <x:v>Derivative/metabolite contextual evidence</x:v>
      </x:c>
      <x:c r="AA155" s="20" t="str">
        <x:v>Row-level annotation; deduplicate by PMID for final reference-level counts</x:v>
      </x:c>
    </x:row>
    <x:row r="156">
      <x:c r="A156" s="20" t="str">
        <x:v>Honokiol</x:v>
      </x:c>
      <x:c r="B156" s="20" t="str">
        <x:v>Neolignans</x:v>
      </x:c>
      <x:c r="C156" s="20" t="str">
        <x:v>厚朴植物的叶子、树皮和根。</x:v>
      </x:c>
      <x:c r="D156" s="20" t="str">
        <x:v>体外：结肠癌细胞、结肠球形成；体内：AOM/DSS 小鼠结肠炎相关癌模型</x:v>
      </x:c>
      <x:c r="E156" s="20" t="str">
        <x:v>In vitro + in vivo</x:v>
      </x:c>
      <x:c r="F156" s="20" t="str">
        <x:v>not captured in source extraction</x:v>
      </x:c>
      <x:c r="G156" s="20" t="str">
        <x:v>抑制 YAP1 功能，非经典 Hippo 通路</x:v>
      </x:c>
      <x:c r="H156" s="20" t="str">
        <x:v>抑制增殖、克隆形成、结肠球形成；诱导凋亡；抑制 DCLK1 激酶活性；下调 LGR5/CD44；诱导 PUMA-YAP1 结合</x:v>
      </x:c>
      <x:c r="I156" s="20" t="str">
        <x:v>not captured</x:v>
      </x:c>
      <x:c r="J156" s="20" t="str">
        <x:v>not reported</x:v>
      </x:c>
      <x:c r="K156" s="20" t="str">
        <x:v>not reported</x:v>
      </x:c>
      <x:c r="L156" s="20" t="str">
        <x:v>Level 1: animal-validated mechanistic evidence</x:v>
      </x:c>
      <x:c r="M156" s="20" t="str">
        <x:v>Apoptosis/cell cycle; Wnt/beta-catenin/stemness</x:v>
      </x:c>
      <x:c r="N156" s="20" t="str">
        <x:v>34206989</x:v>
      </x:c>
      <x:c r="O156" s="20" t="str">
        <x:v>PMID34206989</x:v>
      </x:c>
      <x:c r="P156" s="20" t="str">
        <x:v>Honokiol\155-34206989-Honokiol Affects Stem Cell Viability Source Cells SO 2021 Jun 26 10 7.pdf</x:v>
      </x:c>
      <x:c r="Q156" s="20" t="str">
        <x:v>Honokiol Affects Stem Cell Viability by Suppressing Oncogenic YAP1 Function to Inhibit Colon Tumorigenesis.</x:v>
      </x:c>
      <x:c r="R156" s="20" t="str">
        <x:v>Included</x:v>
      </x:c>
      <x:c r="S156" s="20" t="str">
        <x:v>2021</x:v>
      </x:c>
      <x:c r="T156" s="20" t="str">
        <x:v>2021/06/26</x:v>
      </x:c>
      <x:c r="U156" s="20" t="str">
        <x:v>Honokiol</x:v>
      </x:c>
      <x:c r="V156" s="20" t="str">
        <x:v>厚朴植物的叶子、树皮和根。</x:v>
      </x:c>
      <x:c r="W156" s="20" t="str">
        <x:v>Yes—directly traceable in supplied records</x:v>
      </x:c>
      <x:c r="X156" s="20" t="str">
        <x:v>Constituent of Houpo (Magnolia officinalis)</x:v>
      </x:c>
      <x:c r="Y156" s="20" t="str">
        <x:v>PMID 34206989; PMID34206989</x:v>
      </x:c>
      <x:c r="Z156" s="20" t="str">
        <x:v>Purified isolated compound: Honokiol</x:v>
      </x:c>
      <x:c r="AA156" s="20" t="str">
        <x:v>Row-level annotation; deduplicate by PMID for final reference-level counts</x:v>
      </x:c>
    </x:row>
    <x:row r="157">
      <x:c r="A157" s="20" t="str">
        <x:v>Honokiol</x:v>
      </x:c>
      <x:c r="B157" s="20" t="str">
        <x:v>Neolignans</x:v>
      </x:c>
      <x:c r="C157" s="20" t="str">
        <x:v>天然产物</x:v>
      </x:c>
      <x:c r="D157" s="20" t="str">
        <x:v>体内和体外实验</x:v>
      </x:c>
      <x:c r="E157" s="20" t="str">
        <x:v>In vitro + in vivo</x:v>
      </x:c>
      <x:c r="F157" s="20" t="str">
        <x:v>not captured in source extraction</x:v>
      </x:c>
      <x:c r="G157" s="20" t="str">
        <x:v>铁死亡通路</x:v>
      </x:c>
      <x:c r="H157" s="20" t="str">
        <x:v>HNK被释放后诱导肿瘤细胞发生铁死亡，系统通过乳酸响应触发级联反应，实现ROS持续放大与铁死亡增强</x:v>
      </x:c>
      <x:c r="I157" s="20" t="str">
        <x:v>not captured</x:v>
      </x:c>
      <x:c r="J157" s="20" t="str">
        <x:v>not reported</x:v>
      </x:c>
      <x:c r="K157" s="20" t="str">
        <x:v>not reported</x:v>
      </x:c>
      <x:c r="L157" s="20" t="str">
        <x:v>Level 1: animal-validated mechanistic evidence</x:v>
      </x:c>
      <x:c r="M157" s="20" t="str">
        <x:v>ROS/ferroptosis</x:v>
      </x:c>
      <x:c r="N157" s="20" t="str">
        <x:v>38442520</x:v>
      </x:c>
      <x:c r="O157" s="20" t="str">
        <x:v>PMID38442520</x:v>
      </x:c>
      <x:c r="P157" s="20" t="str">
        <x:v>Honokiol\156-38442520-Lactic acid responsive sequential pr Source J Colloid Interface Sci SO 2024.pdf</x:v>
      </x:c>
      <x:c r="Q157" s="20" t="str">
        <x:v>Lactic acid responsive sequential production of hydrogen peroxide and consumption of glutathione for enhanced ferroptosis tumor therapy.</x:v>
      </x:c>
      <x:c r="R157" s="20" t="str">
        <x:v>Excluded: no CRC-specific model or outcome extracted</x:v>
      </x:c>
      <x:c r="S157" s="20" t="str">
        <x:v>2024</x:v>
      </x:c>
      <x:c r="T157" s="20" t="str">
        <x:v>2024/06/01</x:v>
      </x:c>
      <x:c r="U157" s="20" t="str">
        <x:v>Honokiol</x:v>
      </x:c>
      <x:c r="V157" s="20" t="str">
        <x:v>天然产物</x:v>
      </x:c>
      <x:c r="W157" s="20" t="str">
        <x:v>Yes—directly traceable in supplied records</x:v>
      </x:c>
      <x:c r="X157" s="20" t="str">
        <x:v>Constituent of Houpo (Magnolia officinalis)</x:v>
      </x:c>
      <x:c r="Y157" s="20" t="str">
        <x:v>PMID 38442520; PMID38442520</x:v>
      </x:c>
      <x:c r="Z157" s="20" t="str">
        <x:v>Not assessed for final attribution (excluded record)</x:v>
      </x:c>
      <x:c r="AA157" s="20" t="str">
        <x:v>Row-level annotation; deduplicate by PMID for final reference-level counts</x:v>
      </x:c>
    </x:row>
    <x:row r="158">
      <x:c r="A158" s="20" t="str">
        <x:v>astragalin</x:v>
      </x:c>
      <x:c r="B158" s="20" t="str">
        <x:v>Flavonoids</x:v>
      </x:c>
      <x:c r="C158" s="20" t="str">
        <x:v>Potentilla spp. 地上部分的丙酮提取物</x:v>
      </x:c>
      <x:c r="D158" s="20" t="str">
        <x:v>人结肠腺癌细胞系 LS180 和人结肠上皮细胞系 CCD841 CoN</x:v>
      </x:c>
      <x:c r="E158" s="20" t="str">
        <x:v>In vitro</x:v>
      </x:c>
      <x:c r="F158" s="20" t="str">
        <x:v>not captured in source extraction</x:v>
      </x:c>
      <x:c r="G158" s="20" t="str">
        <x:v>not reported</x:v>
      </x:c>
      <x:c r="H158" s="20" t="str">
        <x:v>抑制细胞活力、DNA合成、破坏癌细胞膜</x:v>
      </x:c>
      <x:c r="I158" s="20" t="str">
        <x:v>not captured</x:v>
      </x:c>
      <x:c r="J158" s="20" t="str">
        <x:v>not reported</x:v>
      </x:c>
      <x:c r="K158" s="20" t="str">
        <x:v>not reported</x:v>
      </x:c>
      <x:c r="L158" s="20" t="str">
        <x:v>Contextual mixture/formulation evidence</x:v>
      </x:c>
      <x:c r="M158" s="20" t="str">
        <x:v>not assigned</x:v>
      </x:c>
      <x:c r="N158" s="20" t="str">
        <x:v>36249795</x:v>
      </x:c>
      <x:c r="O158" s="20" t="str">
        <x:v>not available</x:v>
      </x:c>
      <x:c r="P158" s="20" t="str">
        <x:v>astragalin\157-36249795-Anticancer potential of acetone extr Source Front Pharmacol SO 2022.pdf</x:v>
      </x:c>
      <x:c r="Q158" s="20" t="str">
        <x:v>not retained - incomplete bibliographic metadata</x:v>
      </x:c>
      <x:c r="R158" s="20" t="str">
        <x:v>Excluded: no CRC-specific model or outcome extracted</x:v>
      </x:c>
      <x:c r="S158" s="20" t="str">
        <x:v>2022</x:v>
      </x:c>
      <x:c r="T158" s="20" t="str">
        <x:v>2022/09/29</x:v>
      </x:c>
      <x:c r="U158" s="20" t="str">
        <x:v>astragalin</x:v>
      </x:c>
      <x:c r="V158" s="20" t="str">
        <x:v>Potentilla spp. 地上部分的丙酮提取物</x:v>
      </x:c>
      <x:c r="W158" s="20" t="str">
        <x:v>Not established from supplied source field</x:v>
      </x:c>
      <x:c r="X158" s="20" t="str">
        <x:v>Generic botanical, dietary, computational, or unspecified association</x:v>
      </x:c>
      <x:c r="Y158" s="20" t="str">
        <x:v>PMID 36249795; not available</x:v>
      </x:c>
      <x:c r="Z158" s="20" t="str">
        <x:v>Not assessed for final attribution (excluded record)</x:v>
      </x:c>
      <x:c r="AA158" s="20" t="str">
        <x:v>Row-level annotation; deduplicate by PMID for final reference-level counts</x:v>
      </x:c>
    </x:row>
    <x:row r="159">
      <x:c r="A159" s="20" t="str">
        <x:v>astragalin</x:v>
      </x:c>
      <x:c r="B159" s="20" t="str">
        <x:v>Flavonoids</x:v>
      </x:c>
      <x:c r="C159" s="20" t="str">
        <x:v>自然资源</x:v>
      </x:c>
      <x:c r="D159" s="20" t="str">
        <x:v>体外 / 体内实验</x:v>
      </x:c>
      <x:c r="E159" s="20" t="str">
        <x:v>In vitro + in vivo</x:v>
      </x:c>
      <x:c r="F159" s="20" t="str">
        <x:v>not captured in source extraction</x:v>
      </x:c>
      <x:c r="G159" s="20" t="str">
        <x:v>PI3K/Akt 和 Ras/MAP 激酶途径</x:v>
      </x:c>
      <x:c r="H159" s="20" t="str">
        <x:v>DNA 损伤和激活细胞灭亡诱导酶来抑制癌细胞</x:v>
      </x:c>
      <x:c r="I159" s="20" t="str">
        <x:v>not captured</x:v>
      </x:c>
      <x:c r="J159" s="20" t="str">
        <x:v>not reported</x:v>
      </x:c>
      <x:c r="K159" s="20" t="str">
        <x:v>not reported</x:v>
      </x:c>
      <x:c r="L159" s="20" t="str">
        <x:v>Level 1: animal-validated mechanistic evidence</x:v>
      </x:c>
      <x:c r="M159" s="20" t="str">
        <x:v>PI3K/Akt/mTOR/metabolism</x:v>
      </x:c>
      <x:c r="N159" s="20" t="str">
        <x:v>39835210</x:v>
      </x:c>
      <x:c r="O159" s="20" t="str">
        <x:v>PMID39835210</x:v>
      </x:c>
      <x:c r="P159" s="20" t="str">
        <x:v>astragalin\158-39835210-Incredible use of plant derived bioa Source RSC Adv SO 2025.pdf</x:v>
      </x:c>
      <x:c r="Q159" s="20" t="str">
        <x:v>Incredible use of plant-derived bioactives as anticancer agents.</x:v>
      </x:c>
      <x:c r="R159" s="20" t="str">
        <x:v>Excluded: no CRC-specific model or outcome extracted</x:v>
      </x:c>
      <x:c r="S159" s="20" t="str">
        <x:v>2025</x:v>
      </x:c>
      <x:c r="T159" s="20" t="str">
        <x:v>2025/01/20</x:v>
      </x:c>
      <x:c r="U159" s="20" t="str">
        <x:v>astragalin</x:v>
      </x:c>
      <x:c r="V159" s="20" t="str">
        <x:v>自然资源</x:v>
      </x:c>
      <x:c r="W159" s="20" t="str">
        <x:v>Not established from supplied source field</x:v>
      </x:c>
      <x:c r="X159" s="20" t="str">
        <x:v>Generic botanical, dietary, computational, or unspecified association</x:v>
      </x:c>
      <x:c r="Y159" s="20" t="str">
        <x:v>PMID 39835210; PMID39835210</x:v>
      </x:c>
      <x:c r="Z159" s="20" t="str">
        <x:v>Not assessed for final attribution (excluded record)</x:v>
      </x:c>
      <x:c r="AA159" s="20" t="str">
        <x:v>Row-level annotation; deduplicate by PMID for final reference-level counts</x:v>
      </x:c>
    </x:row>
    <x:row r="160">
      <x:c r="A160" s="20" t="str">
        <x:v>astragalin</x:v>
      </x:c>
      <x:c r="B160" s="20" t="str">
        <x:v>Flavonoids</x:v>
      </x:c>
      <x:c r="C160" s="20" t="str">
        <x:v>Potentilla spp. 水性丙酮提取物</x:v>
      </x:c>
      <x:c r="D160" s="20" t="str">
        <x:v>人结肠癌 LS180 与正常 CCD841 CoN 细胞系</x:v>
      </x:c>
      <x:c r="E160" s="20" t="str">
        <x:v>In vitro</x:v>
      </x:c>
      <x:c r="F160" s="20" t="str">
        <x:v>not captured in source extraction</x:v>
      </x:c>
      <x:c r="G160" s="20" t="str">
        <x:v>not reported</x:v>
      </x:c>
      <x:c r="H160" s="20" t="str">
        <x:v>抑制增殖、降低活力、破坏细胞膜、选择性毒性</x:v>
      </x:c>
      <x:c r="I160" s="20" t="str">
        <x:v>not captured</x:v>
      </x:c>
      <x:c r="J160" s="20" t="str">
        <x:v>not reported</x:v>
      </x:c>
      <x:c r="K160" s="20" t="str">
        <x:v>not reported</x:v>
      </x:c>
      <x:c r="L160" s="20" t="str">
        <x:v>Contextual mixture/formulation evidence</x:v>
      </x:c>
      <x:c r="M160" s="20" t="str">
        <x:v>not assigned</x:v>
      </x:c>
      <x:c r="N160" s="20" t="str">
        <x:v>36902263</x:v>
      </x:c>
      <x:c r="O160" s="20" t="str">
        <x:v>not available</x:v>
      </x:c>
      <x:c r="P160" s="20" t="str">
        <x:v>astragalin\159-36902263-Phytochemical Profiling of Extracts Source Int J Mol Sci SO 2023.pdf</x:v>
      </x:c>
      <x:c r="Q160" s="20" t="str">
        <x:v>not retained - incomplete bibliographic metadata</x:v>
      </x:c>
      <x:c r="R160" s="20" t="str">
        <x:v>Excluded: incomplete bibliographic title requiring verification</x:v>
      </x:c>
      <x:c r="S160" s="20" t="str">
        <x:v>2023</x:v>
      </x:c>
      <x:c r="T160" s="20" t="str">
        <x:v>2023/03/02</x:v>
      </x:c>
      <x:c r="U160" s="20" t="str">
        <x:v>astragalin</x:v>
      </x:c>
      <x:c r="V160" s="20" t="str">
        <x:v>Potentilla spp. 水性丙酮提取物</x:v>
      </x:c>
      <x:c r="W160" s="20" t="str">
        <x:v>Not established from supplied source field</x:v>
      </x:c>
      <x:c r="X160" s="20" t="str">
        <x:v>Generic botanical, dietary, computational, or unspecified association</x:v>
      </x:c>
      <x:c r="Y160" s="20" t="str">
        <x:v>PMID 36902263; not available</x:v>
      </x:c>
      <x:c r="Z160" s="20" t="str">
        <x:v>Not assessed for final attribution (excluded record)</x:v>
      </x:c>
      <x:c r="AA160" s="20" t="str">
        <x:v>Row-level annotation; deduplicate by PMID for final reference-level counts</x:v>
      </x:c>
    </x:row>
    <x:row r="161">
      <x:c r="A161" s="20" t="str">
        <x:v>astragalin</x:v>
      </x:c>
      <x:c r="B161" s="20" t="str">
        <x:v>Flavonoids</x:v>
      </x:c>
      <x:c r="C161" s="20" t="str">
        <x:v>Malvaviscus arboreus 叶的水提取物</x:v>
      </x:c>
      <x:c r="D161" s="20" t="str">
        <x:v>HCT116、MDA-MB231、MCF10A细胞；MRSA等细菌</x:v>
      </x:c>
      <x:c r="E161" s="20" t="str">
        <x:v>In vitro</x:v>
      </x:c>
      <x:c r="F161" s="20" t="str">
        <x:v>not captured in source extraction</x:v>
      </x:c>
      <x:c r="G161" s="20" t="str">
        <x:v>carbonic anhydrase IX</x:v>
      </x:c>
      <x:c r="H161" s="20" t="str">
        <x:v>抗癌（尤其结肠癌）、抗菌（尤其金黄色葡萄球菌）</x:v>
      </x:c>
      <x:c r="I161" s="20" t="str">
        <x:v>not captured</x:v>
      </x:c>
      <x:c r="J161" s="20" t="str">
        <x:v>not reported</x:v>
      </x:c>
      <x:c r="K161" s="20" t="str">
        <x:v>not reported</x:v>
      </x:c>
      <x:c r="L161" s="20" t="str">
        <x:v>Level 3: cell-based mechanistic evidence</x:v>
      </x:c>
      <x:c r="M161" s="20" t="str">
        <x:v>not assigned</x:v>
      </x:c>
      <x:c r="N161" s="20" t="str">
        <x:v>37131545</x:v>
      </x:c>
      <x:c r="O161" s="20" t="str">
        <x:v>not available</x:v>
      </x:c>
      <x:c r="P161" s="20" t="str">
        <x:v>astragalin\160-37131545-In silico Prediction of Malvaviscus Source Int J Nanomedicine SO 2023.pdf</x:v>
      </x:c>
      <x:c r="Q161" s="20" t="str">
        <x:v>not retained - incomplete bibliographic metadata</x:v>
      </x:c>
      <x:c r="R161" s="20" t="str">
        <x:v>Excluded: incomplete bibliographic title requiring verification</x:v>
      </x:c>
      <x:c r="S161" s="20" t="str">
        <x:v>2023</x:v>
      </x:c>
      <x:c r="T161" s="20" t="str">
        <x:v>2023/04/26</x:v>
      </x:c>
      <x:c r="U161" s="20" t="str">
        <x:v>astragalin</x:v>
      </x:c>
      <x:c r="V161" s="20" t="str">
        <x:v>Malvaviscus arboreus 叶的水提取物</x:v>
      </x:c>
      <x:c r="W161" s="20" t="str">
        <x:v>Not established from supplied source field</x:v>
      </x:c>
      <x:c r="X161" s="20" t="str">
        <x:v>Generic botanical, dietary, computational, or unspecified association</x:v>
      </x:c>
      <x:c r="Y161" s="20" t="str">
        <x:v>PMID 37131545; not available</x:v>
      </x:c>
      <x:c r="Z161" s="20" t="str">
        <x:v>Not assessed for final attribution (excluded record)</x:v>
      </x:c>
      <x:c r="AA161" s="20" t="str">
        <x:v>Row-level annotation; deduplicate by PMID for final reference-level counts</x:v>
      </x:c>
    </x:row>
    <x:row r="162">
      <x:c r="A162" s="20" t="str">
        <x:v>astragalin</x:v>
      </x:c>
      <x:c r="B162" s="20" t="str">
        <x:v>Flavonoids</x:v>
      </x:c>
      <x:c r="C162" s="20" t="str">
        <x:v>Tetrastigma hemsleyanum Diels et Gilg 的干根</x:v>
      </x:c>
      <x:c r="D162" s="20" t="str">
        <x:v>HCT-116 和 HT-29 细胞</x:v>
      </x:c>
      <x:c r="E162" s="20" t="str">
        <x:v>In vitro</x:v>
      </x:c>
      <x:c r="F162" s="20" t="str">
        <x:v>not captured in source extraction</x:v>
      </x:c>
      <x:c r="G162" s="20" t="str">
        <x:v>PI3K/AKT/mTOR 通路</x:v>
      </x:c>
      <x:c r="H162" s="20" t="str">
        <x:v>抑制 HCT-116 的克隆生成性并促进细胞凋亡，抑制 PI3K/AKT/mTOR 通路延缓结直肠肿瘤生长</x:v>
      </x:c>
      <x:c r="I162" s="20" t="str">
        <x:v>not captured</x:v>
      </x:c>
      <x:c r="J162" s="20" t="str">
        <x:v>not reported</x:v>
      </x:c>
      <x:c r="K162" s="20" t="str">
        <x:v>not reported</x:v>
      </x:c>
      <x:c r="L162" s="20" t="str">
        <x:v>Level 3: cell-based mechanistic evidence</x:v>
      </x:c>
      <x:c r="M162" s="20" t="str">
        <x:v>Apoptosis/cell cycle; PI3K/Akt/mTOR/metabolism</x:v>
      </x:c>
      <x:c r="N162" s="20" t="str">
        <x:v>35831026</x:v>
      </x:c>
      <x:c r="O162" s="20" t="str">
        <x:v>PMID35831026</x:v>
      </x:c>
      <x:c r="P162" s="20" t="str">
        <x:v>astragalin\161-35831026-Total flavonoids from the dried root Source Phytother Res SO 2022 (1).pdf</x:v>
      </x:c>
      <x:c r="Q162" s="20" t="str">
        <x:v>Total flavonoids from the dried root of Tetrastigma hemsleyanum Diels et Gilg inhibit colorectal cancer growth through PI3K/AKT/mTOR signaling pathway.</x:v>
      </x:c>
      <x:c r="R162" s="20" t="str">
        <x:v>Included</x:v>
      </x:c>
      <x:c r="S162" s="20" t="str">
        <x:v>2022</x:v>
      </x:c>
      <x:c r="T162" s="20" t="str">
        <x:v>2022/11/01</x:v>
      </x:c>
      <x:c r="U162" s="20" t="str">
        <x:v>astragalin</x:v>
      </x:c>
      <x:c r="V162" s="20" t="str">
        <x:v>Tetrastigma hemsleyanum Diels et Gilg 的干根</x:v>
      </x:c>
      <x:c r="W162" s="20" t="str">
        <x:v>Not established from supplied source field</x:v>
      </x:c>
      <x:c r="X162" s="20" t="str">
        <x:v>Generic botanical, dietary, computational, or unspecified association</x:v>
      </x:c>
      <x:c r="Y162" s="20" t="str">
        <x:v>PMID 35831026; PMID35831026</x:v>
      </x:c>
      <x:c r="Z162" s="20" t="str">
        <x:v>Extract/formula/decoction contextual evidence</x:v>
      </x:c>
      <x:c r="AA162" s="20" t="str">
        <x:v>Row-level annotation; deduplicate by PMID for final reference-level counts</x:v>
      </x:c>
    </x:row>
    <x:row r="163">
      <x:c r="A163" s="20" t="str">
        <x:v>catechin</x:v>
      </x:c>
      <x:c r="B163" s="20" t="str">
        <x:v>Flavonoids</x:v>
      </x:c>
      <x:c r="C163" s="20" t="str">
        <x:v>茶（Camellia sinensis 的叶和芽），是绿茶等茶类中的主要多酚类成分。</x:v>
      </x:c>
      <x:c r="D163" s="20" t="str">
        <x:v>体外模型：HCT-116、SW480、DLD-1、HT-29 等人结直肠癌细胞系
体内模型：人源性 HCT-116 腺癌荷瘤裸鼠模型</x:v>
      </x:c>
      <x:c r="E163" s="20" t="str">
        <x:v>In vitro + in vivo</x:v>
      </x:c>
      <x:c r="F163" s="20" t="str">
        <x:v>not captured in source extraction</x:v>
      </x:c>
      <x:c r="G163" s="20" t="str">
        <x:v>NF-κB / miR-155-5p / GRP78 / MDR1 通路、受体酪氨酸激酶通路、自噬相关通路、</x:v>
      </x:c>
      <x:c r="H163" s="20" t="str">
        <x:v>增强化疗药物（如5-FU、顺铂、奥沙利铂）的细胞毒性；
促进肿瘤细胞凋亡；
诱导细胞周期阻滞；
抑制肿瘤细胞增殖与生长；
逆转多药耐药；
抑制血管生成</x:v>
      </x:c>
      <x:c r="I163" s="20" t="str">
        <x:v>not captured</x:v>
      </x:c>
      <x:c r="J163" s="20" t="str">
        <x:v>not reported</x:v>
      </x:c>
      <x:c r="K163" s="20" t="str">
        <x:v>not reported</x:v>
      </x:c>
      <x:c r="L163" s="20" t="str">
        <x:v>Contextual mixture/formulation evidence</x:v>
      </x:c>
      <x:c r="M163" s="20" t="str">
        <x:v>Apoptosis/cell cycle; NF-kB/STAT3/inflammation</x:v>
      </x:c>
      <x:c r="N163" s="20" t="str">
        <x:v>35795631</x:v>
      </x:c>
      <x:c r="O163" s="20" t="str">
        <x:v>PMID35795631</x:v>
      </x:c>
      <x:c r="P163" s="20" t="str">
        <x:v>catechin\162-35795631-role of ginseng quercetin and tea source front med lausanne so 2022.pdf</x:v>
      </x:c>
      <x:c r="Q163" s="20" t="str">
        <x:v>Role of Ginseng, Quercetin, and Tea in Enhancing Chemotherapeutic Efficacy of Colorectal Cancer.</x:v>
      </x:c>
      <x:c r="R163" s="20" t="str">
        <x:v>Included</x:v>
      </x:c>
      <x:c r="S163" s="20" t="str">
        <x:v>2022</x:v>
      </x:c>
      <x:c r="T163" s="20" t="str">
        <x:v>2022/06/20</x:v>
      </x:c>
      <x:c r="U163" s="20" t="str">
        <x:v>catechin</x:v>
      </x:c>
      <x:c r="V163" s="20" t="str">
        <x:v>茶（Camellia sinensis 的叶和芽），是绿茶等茶类中的主要多酚类成分。</x:v>
      </x:c>
      <x:c r="W163" s="20" t="str">
        <x:v>Not established from supplied source field</x:v>
      </x:c>
      <x:c r="X163" s="20" t="str">
        <x:v>Generic botanical, dietary, computational, or unspecified association</x:v>
      </x:c>
      <x:c r="Y163" s="20" t="str">
        <x:v>PMID 35795631; PMID35795631</x:v>
      </x:c>
      <x:c r="Z163" s="20" t="str">
        <x:v>Other CRC-relevant contextual evidence</x:v>
      </x:c>
      <x:c r="AA163" s="20" t="str">
        <x:v>Row-level annotation; deduplicate by PMID for final reference-level counts</x:v>
      </x:c>
    </x:row>
    <x:row r="164">
      <x:c r="A164" s="20" t="str">
        <x:v>catechin</x:v>
      </x:c>
      <x:c r="B164" s="20" t="str">
        <x:v>Flavonoids</x:v>
      </x:c>
      <x:c r="C164" s="20" t="str">
        <x:v>茶叶和各种水果（苹果和李子）、山核桃、洋葱、蔬菜和植物性饮料</x:v>
      </x:c>
      <x:c r="D164" s="20" t="str">
        <x:v>体外模型：Caco-2 / HT-29 共培养细胞系
体内模型：荷瘤小鼠</x:v>
      </x:c>
      <x:c r="E164" s="20" t="str">
        <x:v>In vitro + in vivo</x:v>
      </x:c>
      <x:c r="F164" s="20" t="str">
        <x:v>not captured in source extraction</x:v>
      </x:c>
      <x:c r="G164" s="20" t="str">
        <x:v>not reported</x:v>
      </x:c>
      <x:c r="H164" s="20" t="str">
        <x:v>消除活性氧/氮（ROS &amp; NOS）、氧化还原活性金属（Cu/Cu 和 Fe/Fe）的螯合以及下调癌症相关转录因子和氧化酶</x:v>
      </x:c>
      <x:c r="I164" s="20" t="str">
        <x:v>not captured</x:v>
      </x:c>
      <x:c r="J164" s="20" t="str">
        <x:v>not reported</x:v>
      </x:c>
      <x:c r="K164" s="20" t="str">
        <x:v>not reported</x:v>
      </x:c>
      <x:c r="L164" s="20" t="str">
        <x:v>Level 1: animal-validated mechanistic evidence</x:v>
      </x:c>
      <x:c r="M164" s="20" t="str">
        <x:v>ROS/ferroptosis</x:v>
      </x:c>
      <x:c r="N164" s="20" t="str">
        <x:v>37085076</x:v>
      </x:c>
      <x:c r="O164" s="20" t="str">
        <x:v>PMID37085076</x:v>
      </x:c>
      <x:c r="P164" s="20" t="str">
        <x:v>catechin\163-37085076-flavonoids nanostructures promising source int j biol macromol so 2023.pdf</x:v>
      </x:c>
      <x:c r="Q164" s="20" t="str">
        <x:v>Flavonoids nanostructures promising therapeutic efficiencies in colorectal cancer.</x:v>
      </x:c>
      <x:c r="R164" s="20" t="str">
        <x:v>Included</x:v>
      </x:c>
      <x:c r="S164" s="20" t="str">
        <x:v>2023</x:v>
      </x:c>
      <x:c r="T164" s="20" t="str">
        <x:v>2023/06/30</x:v>
      </x:c>
      <x:c r="U164" s="20" t="str">
        <x:v>catechin</x:v>
      </x:c>
      <x:c r="V164" s="20" t="str">
        <x:v>茶叶和各种水果（苹果和李子）、山核桃、洋葱、蔬菜和植物性饮料</x:v>
      </x:c>
      <x:c r="W164" s="20" t="str">
        <x:v>Not established from supplied source field</x:v>
      </x:c>
      <x:c r="X164" s="20" t="str">
        <x:v>Generic botanical, dietary, computational, or unspecified association</x:v>
      </x:c>
      <x:c r="Y164" s="20" t="str">
        <x:v>PMID 37085076; PMID37085076</x:v>
      </x:c>
      <x:c r="Z164" s="20" t="str">
        <x:v>Formulation/nanodelivery contextual evidence</x:v>
      </x:c>
      <x:c r="AA164" s="20" t="str">
        <x:v>Row-level annotation; deduplicate by PMID for final reference-level counts</x:v>
      </x:c>
    </x:row>
    <x:row r="165">
      <x:c r="A165" s="20" t="str">
        <x:v>catechin</x:v>
      </x:c>
      <x:c r="B165" s="20" t="str">
        <x:v>Flavonoids</x:v>
      </x:c>
      <x:c r="C165" s="20" t="str">
        <x:v>绿茶</x:v>
      </x:c>
      <x:c r="D165" s="20" t="str">
        <x:v>not reported</x:v>
      </x:c>
      <x:c r="E165" s="20" t="str">
        <x:v>Not specified</x:v>
      </x:c>
      <x:c r="F165" s="20" t="str">
        <x:v>not captured in source extraction</x:v>
      </x:c>
      <x:c r="G165" s="20" t="str">
        <x:v>not reported</x:v>
      </x:c>
      <x:c r="H165" s="20" t="str">
        <x:v>1 具有强抗氧化活性
2 可中和自由基
3 是绿茶中主要的生物活性成分
4 绿茶的抗氧化活性高于红茶</x:v>
      </x:c>
      <x:c r="I165" s="20" t="str">
        <x:v>not captured</x:v>
      </x:c>
      <x:c r="J165" s="20" t="str">
        <x:v>not reported</x:v>
      </x:c>
      <x:c r="K165" s="20" t="str">
        <x:v>not reported</x:v>
      </x:c>
      <x:c r="L165" s="20" t="str">
        <x:v>Excluded: insufficient extractable evidence</x:v>
      </x:c>
      <x:c r="M165" s="20" t="str">
        <x:v>ROS/ferroptosis</x:v>
      </x:c>
      <x:c r="N165" s="20" t="str">
        <x:v>36359962</x:v>
      </x:c>
      <x:c r="O165" s="20" t="str">
        <x:v>PMID36359962</x:v>
      </x:c>
      <x:c r="P165" s="20" t="str">
        <x:v>catechin\164-36359962-tea polyphenols and their preventive source foods so 2022.pdf</x:v>
      </x:c>
      <x:c r="Q165" s="20" t="str">
        <x:v>Tea Polyphenols and Their Preventive Measures against Cancer: Current Trends and Directions.</x:v>
      </x:c>
      <x:c r="R165" s="20" t="str">
        <x:v>Excluded: no CRC-specific model or outcome extracted</x:v>
      </x:c>
      <x:c r="S165" s="20" t="str">
        <x:v>2022</x:v>
      </x:c>
      <x:c r="T165" s="20" t="str">
        <x:v>2022/10/25</x:v>
      </x:c>
      <x:c r="U165" s="20" t="str">
        <x:v>catechin</x:v>
      </x:c>
      <x:c r="V165" s="20" t="str">
        <x:v>绿茶</x:v>
      </x:c>
      <x:c r="W165" s="20" t="str">
        <x:v>Not established from supplied source field</x:v>
      </x:c>
      <x:c r="X165" s="20" t="str">
        <x:v>Generic botanical, dietary, computational, or unspecified association</x:v>
      </x:c>
      <x:c r="Y165" s="20" t="str">
        <x:v>PMID 36359962; PMID36359962</x:v>
      </x:c>
      <x:c r="Z165" s="20" t="str">
        <x:v>Not assessed for final attribution (excluded record)</x:v>
      </x:c>
      <x:c r="AA165" s="20" t="str">
        <x:v>Row-level annotation; deduplicate by PMID for final reference-level counts</x:v>
      </x:c>
    </x:row>
    <x:row r="166">
      <x:c r="A166" s="20" t="str">
        <x:v>catechin</x:v>
      </x:c>
      <x:c r="B166" s="20" t="str">
        <x:v>Flavonoids</x:v>
      </x:c>
      <x:c r="C166" s="20" t="str">
        <x:v>茶叶</x:v>
      </x:c>
      <x:c r="D166" s="20" t="str">
        <x:v>not reported</x:v>
      </x:c>
      <x:c r="E166" s="20" t="str">
        <x:v>Not specified</x:v>
      </x:c>
      <x:c r="F166" s="20" t="str">
        <x:v>not captured in source extraction</x:v>
      </x:c>
      <x:c r="G166" s="20" t="str">
        <x:v>抑制 Wnt/β-catenin 信号通路。</x:v>
      </x:c>
      <x:c r="H166" s="20" t="str">
        <x:v>阻断 Wnt 通路；
抑制肿瘤发生相关信号传导</x:v>
      </x:c>
      <x:c r="I166" s="20" t="str">
        <x:v>not captured</x:v>
      </x:c>
      <x:c r="J166" s="20" t="str">
        <x:v>not reported</x:v>
      </x:c>
      <x:c r="K166" s="20" t="str">
        <x:v>not reported</x:v>
      </x:c>
      <x:c r="L166" s="20" t="str">
        <x:v>Excluded: insufficient extractable evidence</x:v>
      </x:c>
      <x:c r="M166" s="20" t="str">
        <x:v>Wnt/beta-catenin/stemness</x:v>
      </x:c>
      <x:c r="N166" s="20" t="str">
        <x:v>38807329</x:v>
      </x:c>
      <x:c r="O166" s="20" t="str">
        <x:v>PMID38807329</x:v>
      </x:c>
      <x:c r="P166" s="20" t="str">
        <x:v>catechin\165-38807329-management of colorectal cancer usin source curr pharm biotechnol so 2024.pdf</x:v>
      </x:c>
      <x:c r="Q166" s="20" t="str">
        <x:v>Management of Colorectal Cancer Using Nanocarriers-based Drug Delivery for Herbal Bioactives: Current and Emerging Approaches.</x:v>
      </x:c>
      <x:c r="R166" s="20" t="str">
        <x:v>Excluded: insufficient extractable evidence</x:v>
      </x:c>
      <x:c r="S166" s="20" t="str">
        <x:v>2024</x:v>
      </x:c>
      <x:c r="T166" s="20" t="str">
        <x:v>2024/01/01</x:v>
      </x:c>
      <x:c r="U166" s="20" t="str">
        <x:v>catechin</x:v>
      </x:c>
      <x:c r="V166" s="20" t="str">
        <x:v>茶叶</x:v>
      </x:c>
      <x:c r="W166" s="20" t="str">
        <x:v>Not established from supplied source field</x:v>
      </x:c>
      <x:c r="X166" s="20" t="str">
        <x:v>Generic botanical, dietary, computational, or unspecified association</x:v>
      </x:c>
      <x:c r="Y166" s="20" t="str">
        <x:v>PMID 38807329; PMID38807329</x:v>
      </x:c>
      <x:c r="Z166" s="20" t="str">
        <x:v>Not assessed for final attribution (excluded record)</x:v>
      </x:c>
      <x:c r="AA166" s="20" t="str">
        <x:v>Row-level annotation; deduplicate by PMID for final reference-level counts</x:v>
      </x:c>
    </x:row>
    <x:row r="167">
      <x:c r="A167" s="20" t="str">
        <x:v>catechin</x:v>
      </x:c>
      <x:c r="B167" s="20" t="str">
        <x:v>Flavonoids</x:v>
      </x:c>
      <x:c r="C167" s="20" t="str">
        <x:v>大黄</x:v>
      </x:c>
      <x:c r="D167" s="20" t="str">
        <x:v>生物信息学分析</x:v>
      </x:c>
      <x:c r="E167" s="20" t="str">
        <x:v>Not specified</x:v>
      </x:c>
      <x:c r="F167" s="20" t="str">
        <x:v>not captured in source extraction</x:v>
      </x:c>
      <x:c r="G167" s="20" t="str">
        <x:v>p53 信号通路；
AGE-RAGE 信号通路；
白介素-17（IL-17）信号通路；
雌激素信号通路；
氮代谢；
多种癌症相关通路（包括结直肠癌）</x:v>
      </x:c>
      <x:c r="H167" s="20" t="str">
        <x:v>对脂多糖（LPS）的应答；对药物的应答；对类固醇激素的应答</x:v>
      </x:c>
      <x:c r="I167" s="20" t="str">
        <x:v>not captured</x:v>
      </x:c>
      <x:c r="J167" s="20" t="str">
        <x:v>not reported</x:v>
      </x:c>
      <x:c r="K167" s="20" t="str">
        <x:v>not reported</x:v>
      </x:c>
      <x:c r="L167" s="20" t="str">
        <x:v>Level 4: in silico/contextual evidence</x:v>
      </x:c>
      <x:c r="M167" s="20" t="str">
        <x:v>EMT/ECM/metastasis</x:v>
      </x:c>
      <x:c r="N167" s="20" t="str">
        <x:v>38518016</x:v>
      </x:c>
      <x:c r="O167" s="20" t="str">
        <x:v>PMID38518016</x:v>
      </x:c>
      <x:c r="P167" s="20" t="str">
        <x:v>beta-sitosterol\216-38518016-prediction of potential mechanisms o.pdf</x:v>
      </x:c>
      <x:c r="Q167" s="20" t="str">
        <x:v>Prediction of potential mechanisms of rhubarb therapy for colorectal cancer based on network pharmacological analysis and molecular docking.</x:v>
      </x:c>
      <x:c r="R167" s="20" t="str">
        <x:v>Included</x:v>
      </x:c>
      <x:c r="S167" s="20" t="str">
        <x:v>2024</x:v>
      </x:c>
      <x:c r="T167" s="20" t="str">
        <x:v>2024/03/22</x:v>
      </x:c>
      <x:c r="U167" s="20" t="str">
        <x:v>catechin</x:v>
      </x:c>
      <x:c r="V167" s="20" t="str">
        <x:v>大黄</x:v>
      </x:c>
      <x:c r="W167" s="20" t="str">
        <x:v>Not established from supplied source field</x:v>
      </x:c>
      <x:c r="X167" s="20" t="str">
        <x:v>Generic botanical, dietary, computational, or unspecified association</x:v>
      </x:c>
      <x:c r="Y167" s="20" t="str">
        <x:v>PMID 38518016; PMID38518016</x:v>
      </x:c>
      <x:c r="Z167" s="20" t="str">
        <x:v>Network pharmacology/in silico evidence</x:v>
      </x:c>
      <x:c r="AA167" s="20" t="str">
        <x:v>Row-level annotation; deduplicate by PMID for final reference-level counts</x:v>
      </x:c>
    </x:row>
    <x:row r="168">
      <x:c r="A168" s="20" t="str">
        <x:v>catechin</x:v>
      </x:c>
      <x:c r="B168" s="20" t="str">
        <x:v>Flavonoids</x:v>
      </x:c>
      <x:c r="C168" s="20" t="str">
        <x:v>Rubus ulmifolius Schott 叶</x:v>
      </x:c>
      <x:c r="D168" s="20" t="str">
        <x:v>1 细胞模型：HT-29（结直肠癌）、SK-OV-3（卵巢癌）、A549（肺癌）
2 酶抑制模型：AChE、BChE、urease
3 抗真菌模型：Penicillium sp.、Aspergillus fumigatus、Candida albicans 等
4 计算模型：网络药理学 + 分子对接</x:v>
      </x:c>
      <x:c r="E168" s="20" t="str">
        <x:v>In vitro</x:v>
      </x:c>
      <x:c r="F168" s="20" t="str">
        <x:v>not captured in source extraction</x:v>
      </x:c>
      <x:c r="G168" s="20" t="str">
        <x:v>预测EGFR, ESR1, PTGS2, and STAT3</x:v>
      </x:c>
      <x:c r="H168" s="20" t="str">
        <x:v>1 显著抑制 HT-29 和 SK-OV-3 癌细胞增殖
2 catechin 与关键靶点结合能力强，类似参考抑制剂
3 提取物具 AChE 抑制活性
4 提取物具抗真菌活性</x:v>
      </x:c>
      <x:c r="I168" s="20" t="str">
        <x:v>not captured</x:v>
      </x:c>
      <x:c r="J168" s="20" t="str">
        <x:v>not reported</x:v>
      </x:c>
      <x:c r="K168" s="20" t="str">
        <x:v>not reported</x:v>
      </x:c>
      <x:c r="L168" s="20" t="str">
        <x:v>Level 3: cell-based mechanistic evidence</x:v>
      </x:c>
      <x:c r="M168" s="20" t="str">
        <x:v>NF-kB/STAT3/inflammation</x:v>
      </x:c>
      <x:c r="N168" s="20" t="str">
        <x:v>41155677</x:v>
      </x:c>
      <x:c r="O168" s="20" t="str">
        <x:v>not available</x:v>
      </x:c>
      <x:c r="P168" s="20" t="str">
        <x:v>catechin\167-41155677-therapeutic insights into rubus ulmi so 2025.pdf</x:v>
      </x:c>
      <x:c r="Q168" s="20" t="str">
        <x:v>not retained - incomplete bibliographic metadata</x:v>
      </x:c>
      <x:c r="R168" s="20" t="str">
        <x:v>Excluded: incomplete bibliographic title requiring verification</x:v>
      </x:c>
      <x:c r="S168" s="20" t="str">
        <x:v>2025</x:v>
      </x:c>
      <x:c r="T168" s="20" t="str">
        <x:v>2025/10/16</x:v>
      </x:c>
      <x:c r="U168" s="20" t="str">
        <x:v>catechin</x:v>
      </x:c>
      <x:c r="V168" s="20" t="str">
        <x:v>Rubus ulmifolius Schott 叶</x:v>
      </x:c>
      <x:c r="W168" s="20" t="str">
        <x:v>Not established from supplied source field</x:v>
      </x:c>
      <x:c r="X168" s="20" t="str">
        <x:v>Generic botanical, dietary, computational, or unspecified association</x:v>
      </x:c>
      <x:c r="Y168" s="20" t="str">
        <x:v>PMID 41155677; not available</x:v>
      </x:c>
      <x:c r="Z168" s="20" t="str">
        <x:v>Not assessed for final attribution (excluded record)</x:v>
      </x:c>
      <x:c r="AA168" s="20" t="str">
        <x:v>Row-level annotation; deduplicate by PMID for final reference-level counts</x:v>
      </x:c>
    </x:row>
    <x:row r="169">
      <x:c r="A169" s="20" t="str">
        <x:v>catechin</x:v>
      </x:c>
      <x:c r="B169" s="20" t="str">
        <x:v>Flavonoids</x:v>
      </x:c>
      <x:c r="C169" s="20" t="str">
        <x:v>天然存在的黄酮类化合物</x:v>
      </x:c>
      <x:c r="D169" s="20" t="str">
        <x:v>not reported</x:v>
      </x:c>
      <x:c r="E169" s="20" t="str">
        <x:v>Not specified</x:v>
      </x:c>
      <x:c r="F169" s="20" t="str">
        <x:v>not captured in source extraction</x:v>
      </x:c>
      <x:c r="G169" s="20" t="str">
        <x:v>体外（in vitro）释放模型</x:v>
      </x:c>
      <x:c r="H169" s="20" t="str">
        <x:v>not reported</x:v>
      </x:c>
      <x:c r="I169" s="20" t="str">
        <x:v>not captured</x:v>
      </x:c>
      <x:c r="J169" s="20" t="str">
        <x:v>not reported</x:v>
      </x:c>
      <x:c r="K169" s="20" t="str">
        <x:v>not reported</x:v>
      </x:c>
      <x:c r="L169" s="20" t="str">
        <x:v>Excluded: insufficient extractable evidence</x:v>
      </x:c>
      <x:c r="M169" s="20" t="str">
        <x:v>not assigned</x:v>
      </x:c>
      <x:c r="N169" s="20" t="str">
        <x:v>38008226</x:v>
      </x:c>
      <x:c r="O169" s="20" t="str">
        <x:v>PMID38008226</x:v>
      </x:c>
      <x:c r="P169" s="20" t="str">
        <x:v>catechin\168-38008226-a ph sensitive silica nanoparticles source eur j pharm sci so 2023.pdf</x:v>
      </x:c>
      <x:c r="Q169" s="20" t="str">
        <x:v>A pH-sensitive silica nanoparticles for colon-specific delivery and controlled release of catechin: Optimization of loading efficiency and in vitro release kinetics.</x:v>
      </x:c>
      <x:c r="R169" s="20" t="str">
        <x:v>Excluded: no CRC-specific model or outcome extracted</x:v>
      </x:c>
      <x:c r="S169" s="20" t="str">
        <x:v>2024</x:v>
      </x:c>
      <x:c r="T169" s="20" t="str">
        <x:v>2024/01/01</x:v>
      </x:c>
      <x:c r="U169" s="20" t="str">
        <x:v>catechin</x:v>
      </x:c>
      <x:c r="V169" s="20" t="str">
        <x:v>天然存在的黄酮类化合物</x:v>
      </x:c>
      <x:c r="W169" s="20" t="str">
        <x:v>Not established from supplied source field</x:v>
      </x:c>
      <x:c r="X169" s="20" t="str">
        <x:v>Generic botanical, dietary, computational, or unspecified association</x:v>
      </x:c>
      <x:c r="Y169" s="20" t="str">
        <x:v>PMID 38008226; PMID38008226</x:v>
      </x:c>
      <x:c r="Z169" s="20" t="str">
        <x:v>Not assessed for final attribution (excluded record)</x:v>
      </x:c>
      <x:c r="AA169" s="20" t="str">
        <x:v>Row-level annotation; deduplicate by PMID for final reference-level counts</x:v>
      </x:c>
    </x:row>
    <x:row r="170">
      <x:c r="A170" s="20" t="str">
        <x:v>catechin</x:v>
      </x:c>
      <x:c r="B170" s="20" t="str">
        <x:v>Flavonoids</x:v>
      </x:c>
      <x:c r="C170" s="20" t="str">
        <x:v>中国客家炒青绿茶</x:v>
      </x:c>
      <x:c r="D170" s="20" t="str">
        <x:v>人结直肠癌细胞 HT-29</x:v>
      </x:c>
      <x:c r="E170" s="20" t="str">
        <x:v>In vitro</x:v>
      </x:c>
      <x:c r="F170" s="20" t="str">
        <x:v>not captured in source extraction</x:v>
      </x:c>
      <x:c r="G170" s="20" t="str">
        <x:v>PI3K/AKT 通路</x:v>
      </x:c>
      <x:c r="H170" s="20" t="str">
        <x:v>抑制细胞增殖
诱导细胞凋亡
阻滞细胞周期</x:v>
      </x:c>
      <x:c r="I170" s="20" t="str">
        <x:v>not captured</x:v>
      </x:c>
      <x:c r="J170" s="20" t="str">
        <x:v>not reported</x:v>
      </x:c>
      <x:c r="K170" s="20" t="str">
        <x:v>not reported</x:v>
      </x:c>
      <x:c r="L170" s="20" t="str">
        <x:v>Contextual mixture/formulation evidence</x:v>
      </x:c>
      <x:c r="M170" s="20" t="str">
        <x:v>Apoptosis/cell cycle; PI3K/Akt/mTOR/metabolism</x:v>
      </x:c>
      <x:c r="N170" s="20" t="str">
        <x:v>36500365</x:v>
      </x:c>
      <x:c r="O170" s="20" t="str">
        <x:v>PMID36500365</x:v>
      </x:c>
      <x:c r="P170" s="20" t="str">
        <x:v>catechin\169-36500365-induction of apoptosis via inactivat source molecules so 2022.pdf</x:v>
      </x:c>
      <x:c r="Q170" s="20" t="str">
        <x:v>Induction of Apoptosis via Inactivating PI3K/AKT Pathway in Colorectal Cancer Cells Using Aged Chinese Hakka Stir-Fried Green Tea Extract.</x:v>
      </x:c>
      <x:c r="R170" s="20" t="str">
        <x:v>Included</x:v>
      </x:c>
      <x:c r="S170" s="20" t="str">
        <x:v>2022</x:v>
      </x:c>
      <x:c r="T170" s="20" t="str">
        <x:v>2022/11/27</x:v>
      </x:c>
      <x:c r="U170" s="20" t="str">
        <x:v>catechin</x:v>
      </x:c>
      <x:c r="V170" s="20" t="str">
        <x:v>中国客家炒青绿茶</x:v>
      </x:c>
      <x:c r="W170" s="20" t="str">
        <x:v>Not established from supplied source field</x:v>
      </x:c>
      <x:c r="X170" s="20" t="str">
        <x:v>Generic botanical, dietary, computational, or unspecified association</x:v>
      </x:c>
      <x:c r="Y170" s="20" t="str">
        <x:v>PMID 36500365; PMID36500365</x:v>
      </x:c>
      <x:c r="Z170" s="20" t="str">
        <x:v>Extract/formula/decoction contextual evidence</x:v>
      </x:c>
      <x:c r="AA170" s="20" t="str">
        <x:v>Row-level annotation; deduplicate by PMID for final reference-level counts</x:v>
      </x:c>
    </x:row>
    <x:row r="171">
      <x:c r="A171" s="20" t="str">
        <x:v>catechin</x:v>
      </x:c>
      <x:c r="B171" s="20" t="str">
        <x:v>Flavonoids</x:v>
      </x:c>
      <x:c r="C171" s="20" t="str">
        <x:v>石榴汁浓缩物</x:v>
      </x:c>
      <x:c r="D171" s="20" t="str">
        <x:v>体外生化模型：牛血清白蛋白（BSA）和DNA氧化损伤模型
酶活性抑制模型：乙酰胆碱酯酶、α-淀粉酶、酪氨酸酶
抗菌模型：人类病原菌
癌细胞模型：结直肠癌、乳腺癌、肝癌细胞系</x:v>
      </x:c>
      <x:c r="E171" s="20" t="str">
        <x:v>In vitro</x:v>
      </x:c>
      <x:c r="F171" s="20" t="str">
        <x:v>not captured in source extraction</x:v>
      </x:c>
      <x:c r="G171" s="20" t="str">
        <x:v>Bcl-2：表达被抑制（↓）；P21（CDKN1A）：表达被抑制（↓）；P53：表达增强（↑）
乙酰胆碱酯酶、α-淀粉酶、酪氨酸酶：活性被抑制</x:v>
      </x:c>
      <x:c r="H171" s="20" t="str">
        <x:v>抑制氧化损伤
诱导癌细胞凋亡
抑制癌细胞增殖
调控细胞周期与凋亡相关蛋白表达
抑制关键酶活性
抗菌作用</x:v>
      </x:c>
      <x:c r="I171" s="20" t="str">
        <x:v>not captured</x:v>
      </x:c>
      <x:c r="J171" s="20" t="str">
        <x:v>not reported</x:v>
      </x:c>
      <x:c r="K171" s="20" t="str">
        <x:v>not reported</x:v>
      </x:c>
      <x:c r="L171" s="20" t="str">
        <x:v>Level 3: cell-based mechanistic evidence</x:v>
      </x:c>
      <x:c r="M171" s="20" t="str">
        <x:v>Apoptosis/cell cycle; NF-kB/STAT3/inflammation; ROS/ferroptosis</x:v>
      </x:c>
      <x:c r="N171" s="20" t="str">
        <x:v>37375613</x:v>
      </x:c>
      <x:c r="O171" s="20" t="str">
        <x:v>PMID37375613</x:v>
      </x:c>
      <x:c r="P171" s="20" t="str">
        <x:v>catechin\170-37375613-antioxidant anti inflammatory anti.pdf</x:v>
      </x:c>
      <x:c r="Q171" s="20" t="str">
        <x:v>Antioxidant, Anti-Inflammatory, Antimicrobial, and Anticancer Activities of Pomegranate Juice Concentrate.</x:v>
      </x:c>
      <x:c r="R171" s="20" t="str">
        <x:v>Included</x:v>
      </x:c>
      <x:c r="S171" s="20" t="str">
        <x:v>2023</x:v>
      </x:c>
      <x:c r="T171" s="20" t="str">
        <x:v>2023/06/11</x:v>
      </x:c>
      <x:c r="U171" s="20" t="str">
        <x:v>catechin</x:v>
      </x:c>
      <x:c r="V171" s="20" t="str">
        <x:v>石榴汁浓缩物</x:v>
      </x:c>
      <x:c r="W171" s="20" t="str">
        <x:v>Not established from supplied source field</x:v>
      </x:c>
      <x:c r="X171" s="20" t="str">
        <x:v>Generic botanical, dietary, computational, or unspecified association</x:v>
      </x:c>
      <x:c r="Y171" s="20" t="str">
        <x:v>PMID 37375613; PMID37375613</x:v>
      </x:c>
      <x:c r="Z171" s="20" t="str">
        <x:v>Extract/formula/decoction contextual evidence</x:v>
      </x:c>
      <x:c r="AA171" s="20" t="str">
        <x:v>Row-level annotation; deduplicate by PMID for final reference-level counts</x:v>
      </x:c>
    </x:row>
    <x:row r="172">
      <x:c r="A172" s="20" t="str">
        <x:v>catechin</x:v>
      </x:c>
      <x:c r="B172" s="20" t="str">
        <x:v>Flavonoids</x:v>
      </x:c>
      <x:c r="C172" s="20" t="str">
        <x:v>绿茶</x:v>
      </x:c>
      <x:c r="D172" s="20" t="str">
        <x:v>AOM/DSS 诱导的炎症相关结肠癌小鼠模型</x:v>
      </x:c>
      <x:c r="E172" s="20" t="str">
        <x:v>In vivo</x:v>
      </x:c>
      <x:c r="F172" s="20" t="str">
        <x:v>not captured in source extraction</x:v>
      </x:c>
      <x:c r="G172" s="20" t="str">
        <x:v>1 联用显著减少肿瘤数量
2 改善 IRN 引起的腹泻、中性粒细胞减少、白细胞减少
3 缓解结肠腺瘤样组织学特征
4 减轻 IRN 诱导的非酒精性脂肪肝（NAFLD）</x:v>
      </x:c>
      <x:c r="H172" s="20" t="str">
        <x:v>肿瘤数量和体积显著减少（尤其IRN+高剂量GT组）；
结肠组织炎症浸润减轻；
腺癌分化程度降低；
白细胞、中性粒细胞减少（IRN毒性）被GT逆转；
肝脏脂肪变性（NAFLD）缓解；
肾小管损伤减轻；
腹泻频率下降</x:v>
      </x:c>
      <x:c r="I172" s="20" t="str">
        <x:v>yes</x:v>
      </x:c>
      <x:c r="J172" s="20" t="str">
        <x:v>not reported</x:v>
      </x:c>
      <x:c r="K172" s="20" t="str">
        <x:v>not reported</x:v>
      </x:c>
      <x:c r="L172" s="20" t="str">
        <x:v>Contextual mixture/formulation evidence</x:v>
      </x:c>
      <x:c r="M172" s="20" t="str">
        <x:v>NF-kB/STAT3/inflammation</x:v>
      </x:c>
      <x:c r="N172" s="20" t="str">
        <x:v>34308509</x:v>
      </x:c>
      <x:c r="O172" s="20" t="str">
        <x:v>PMID34308509</x:v>
      </x:c>
      <x:c r="P172" s="20" t="str">
        <x:v>catechin\171-34308509-green tea catechins in combination with irinotecan.pdf</x:v>
      </x:c>
      <x:c r="Q172" s="20" t="str">
        <x:v>Green tea catechins in combination with irinotecan attenuates tumorigenesis and treatment-associated toxicity in an inflammation-associated colon cancer mice model.</x:v>
      </x:c>
      <x:c r="R172" s="20" t="str">
        <x:v>Included</x:v>
      </x:c>
      <x:c r="S172" s="20" t="str">
        <x:v>2021</x:v>
      </x:c>
      <x:c r="T172" s="20" t="str">
        <x:v>2021/07/26</x:v>
      </x:c>
      <x:c r="U172" s="20" t="str">
        <x:v>catechin</x:v>
      </x:c>
      <x:c r="V172" s="20" t="str">
        <x:v>绿茶</x:v>
      </x:c>
      <x:c r="W172" s="20" t="str">
        <x:v>Not established from supplied source field</x:v>
      </x:c>
      <x:c r="X172" s="20" t="str">
        <x:v>Generic botanical, dietary, computational, or unspecified association</x:v>
      </x:c>
      <x:c r="Y172" s="20" t="str">
        <x:v>PMID 34308509; PMID34308509</x:v>
      </x:c>
      <x:c r="Z172" s="20" t="str">
        <x:v>Extract/formula/decoction contextual evidence</x:v>
      </x:c>
      <x:c r="AA172" s="20" t="str">
        <x:v>Row-level annotation; deduplicate by PMID for final reference-level counts</x:v>
      </x:c>
    </x:row>
    <x:row r="173">
      <x:c r="A173" s="20" t="str">
        <x:v>catechin</x:v>
      </x:c>
      <x:c r="B173" s="20" t="str">
        <x:v>Flavonoids</x:v>
      </x:c>
      <x:c r="C173" s="20" t="str">
        <x:v>Synsepalum dulcificum（奇迹果）水提物（DMB®）</x:v>
      </x:c>
      <x:c r="D173" s="20" t="str">
        <x:v>人结直肠癌细胞系：DLD-1、HT29、SW480、SW620；实验为 体外细胞实验</x:v>
      </x:c>
      <x:c r="E173" s="20" t="str">
        <x:v>In vitro</x:v>
      </x:c>
      <x:c r="F173" s="20" t="str">
        <x:v>not captured in source extraction</x:v>
      </x:c>
      <x:c r="G173" s="20" t="str">
        <x:v>凋亡通路（线粒体途径）</x:v>
      </x:c>
      <x:c r="H173" s="20" t="str">
        <x:v>抑制结直肠癌细胞增殖
强化疗药奥沙利铂疗效
诱导细胞周期阻滞
激活凋亡相关基因表达</x:v>
      </x:c>
      <x:c r="I173" s="20" t="str">
        <x:v>not captured</x:v>
      </x:c>
      <x:c r="J173" s="20" t="str">
        <x:v>not reported</x:v>
      </x:c>
      <x:c r="K173" s="20" t="str">
        <x:v>not reported</x:v>
      </x:c>
      <x:c r="L173" s="20" t="str">
        <x:v>Level 3: cell-based mechanistic evidence</x:v>
      </x:c>
      <x:c r="M173" s="20" t="str">
        <x:v>Apoptosis/cell cycle</x:v>
      </x:c>
      <x:c r="N173" s="20" t="str">
        <x:v>40298626</x:v>
      </x:c>
      <x:c r="O173" s="20" t="str">
        <x:v>not available</x:v>
      </x:c>
      <x:c r="P173" s="20" t="str">
        <x:v>catechin\172-40298626-anticancer potential phenolic profi source antioxidants basel so 2025.pdf</x:v>
      </x:c>
      <x:c r="Q173" s="20" t="str">
        <x:v>not retained - incomplete bibliographic metadata</x:v>
      </x:c>
      <x:c r="R173" s="20" t="str">
        <x:v>Excluded: incomplete bibliographic title requiring verification</x:v>
      </x:c>
      <x:c r="S173" s="20" t="str">
        <x:v>2025</x:v>
      </x:c>
      <x:c r="T173" s="20" t="str">
        <x:v>2025/03/24</x:v>
      </x:c>
      <x:c r="U173" s="20" t="str">
        <x:v>catechin</x:v>
      </x:c>
      <x:c r="V173" s="20" t="str">
        <x:v>Synsepalum dulcificum（奇迹果）水提物（DMB®）</x:v>
      </x:c>
      <x:c r="W173" s="20" t="str">
        <x:v>Not established from supplied source field</x:v>
      </x:c>
      <x:c r="X173" s="20" t="str">
        <x:v>Generic botanical, dietary, computational, or unspecified association</x:v>
      </x:c>
      <x:c r="Y173" s="20" t="str">
        <x:v>PMID 40298626; not available</x:v>
      </x:c>
      <x:c r="Z173" s="20" t="str">
        <x:v>Not assessed for final attribution (excluded record)</x:v>
      </x:c>
      <x:c r="AA173" s="20" t="str">
        <x:v>Row-level annotation; deduplicate by PMID for final reference-level counts</x:v>
      </x:c>
    </x:row>
    <x:row r="174">
      <x:c r="A174" s="20" t="str">
        <x:v>catechin</x:v>
      </x:c>
      <x:c r="B174" s="20" t="str">
        <x:v>Flavonoids</x:v>
      </x:c>
      <x:c r="C174" s="20" t="str">
        <x:v>Lycium shawii（沙氏枸杞）提取物</x:v>
      </x:c>
      <x:c r="D174" s="20" t="str">
        <x:v>体外抗菌实验：测试了 L. shawii 提取物、AgNPs（银纳米粒子）和青霉素偶联 AgNPs（pen-AgNPs） 对细菌的抑制作用。
细胞毒性实验：使用以下三种细胞系：结直肠癌细胞 HCT116、正常乳腺上皮细胞 MCF 10 A、乳腺癌细胞 MDA-MB-231
计算机模拟（in silico）模型：用于预测代谢物的药理性质及分子靶点如分子对接。</x:v>
      </x:c>
      <x:c r="E174" s="20" t="str">
        <x:v>In vitro</x:v>
      </x:c>
      <x:c r="F174" s="20" t="str">
        <x:v>not captured in source extraction</x:v>
      </x:c>
      <x:c r="G174" s="20" t="str">
        <x:v>not reported</x:v>
      </x:c>
      <x:c r="H174" s="20" t="str">
        <x:v>not reported</x:v>
      </x:c>
      <x:c r="I174" s="20" t="str">
        <x:v>not captured</x:v>
      </x:c>
      <x:c r="J174" s="20" t="str">
        <x:v>not reported</x:v>
      </x:c>
      <x:c r="K174" s="20" t="str">
        <x:v>not reported</x:v>
      </x:c>
      <x:c r="L174" s="20" t="str">
        <x:v>Level 4: in silico/contextual evidence</x:v>
      </x:c>
      <x:c r="M174" s="20" t="str">
        <x:v>not assigned</x:v>
      </x:c>
      <x:c r="N174" s="20" t="str">
        <x:v>35489282</x:v>
      </x:c>
      <x:c r="O174" s="20" t="str">
        <x:v>PMID35489282</x:v>
      </x:c>
      <x:c r="P174" s="20" t="str">
        <x:v>catechin\173-35489282-in silico predicting as a tool to develop source biomed pharmacother 2022 apr 27 150 113008.pdf</x:v>
      </x:c>
      <x:c r="Q174" s="20" t="str">
        <x:v>In-silico predicting as a tool to develop plant-based biomedicines and nanoparticles: Lycium shawii metabolites.</x:v>
      </x:c>
      <x:c r="R174" s="20" t="str">
        <x:v>Included</x:v>
      </x:c>
      <x:c r="S174" s="20" t="str">
        <x:v>2022</x:v>
      </x:c>
      <x:c r="T174" s="20" t="str">
        <x:v>2022/06/01</x:v>
      </x:c>
      <x:c r="U174" s="20" t="str">
        <x:v>catechin</x:v>
      </x:c>
      <x:c r="V174" s="20" t="str">
        <x:v>Lycium shawii（沙氏枸杞）提取物</x:v>
      </x:c>
      <x:c r="W174" s="20" t="str">
        <x:v>Not established from supplied source field</x:v>
      </x:c>
      <x:c r="X174" s="20" t="str">
        <x:v>Generic botanical, dietary, computational, or unspecified association</x:v>
      </x:c>
      <x:c r="Y174" s="20" t="str">
        <x:v>PMID 35489282; PMID35489282</x:v>
      </x:c>
      <x:c r="Z174" s="20" t="str">
        <x:v>Formulation/nanodelivery contextual evidence</x:v>
      </x:c>
      <x:c r="AA174" s="20" t="str">
        <x:v>Row-level annotation; deduplicate by PMID for final reference-level counts</x:v>
      </x:c>
    </x:row>
    <x:row r="175">
      <x:c r="A175" s="20" t="str">
        <x:v>catechin</x:v>
      </x:c>
      <x:c r="B175" s="20" t="str">
        <x:v>Flavonoids</x:v>
      </x:c>
      <x:c r="C175" s="20" t="str">
        <x:v>棕榈科（Arecaceae）植物的种子：Cocos nucifera（椰子）、Sabal minor（矮棕）</x:v>
      </x:c>
      <x:c r="D175" s="20" t="str">
        <x:v>人结直肠癌细胞系 HT-29</x:v>
      </x:c>
      <x:c r="E175" s="20" t="str">
        <x:v>In vitro</x:v>
      </x:c>
      <x:c r="F175" s="20" t="str">
        <x:v>not captured in source extraction</x:v>
      </x:c>
      <x:c r="G175" s="20" t="str">
        <x:v>not reported</x:v>
      </x:c>
      <x:c r="H175" s="20" t="str">
        <x:v>剂量依赖性抑制 HT-29 细胞增殖</x:v>
      </x:c>
      <x:c r="I175" s="20" t="str">
        <x:v>not captured</x:v>
      </x:c>
      <x:c r="J175" s="20" t="str">
        <x:v>not reported</x:v>
      </x:c>
      <x:c r="K175" s="20" t="str">
        <x:v>not reported</x:v>
      </x:c>
      <x:c r="L175" s="20" t="str">
        <x:v>Level 3: cell-based mechanistic evidence</x:v>
      </x:c>
      <x:c r="M175" s="20" t="str">
        <x:v>not assigned</x:v>
      </x:c>
      <x:c r="N175" s="20" t="str">
        <x:v>36678939</x:v>
      </x:c>
      <x:c r="O175" s="20" t="str">
        <x:v>PMID36678939</x:v>
      </x:c>
      <x:c r="P175" s="20" t="str">
        <x:v>catechin\174-36678939-arecaceae seeds constitute a healthy source plants basel so 2023.pdf</x:v>
      </x:c>
      <x:c r="Q175" s="20" t="str">
        <x:v>Arecaceae Seeds Constitute a Healthy Source of Fatty Acids and Phenolic Compounds.</x:v>
      </x:c>
      <x:c r="R175" s="20" t="str">
        <x:v>Included</x:v>
      </x:c>
      <x:c r="S175" s="20" t="str">
        <x:v>2023</x:v>
      </x:c>
      <x:c r="T175" s="20" t="str">
        <x:v>2023/01/04</x:v>
      </x:c>
      <x:c r="U175" s="20" t="str">
        <x:v>catechin</x:v>
      </x:c>
      <x:c r="V175" s="20" t="str">
        <x:v>棕榈科（Arecaceae）植物的种子：Cocos nucifera（椰子）、Sabal minor（矮棕）</x:v>
      </x:c>
      <x:c r="W175" s="20" t="str">
        <x:v>Not established from supplied source field</x:v>
      </x:c>
      <x:c r="X175" s="20" t="str">
        <x:v>Generic botanical, dietary, computational, or unspecified association</x:v>
      </x:c>
      <x:c r="Y175" s="20" t="str">
        <x:v>PMID 36678939; PMID36678939</x:v>
      </x:c>
      <x:c r="Z175" s="20" t="str">
        <x:v>Extract/formula/decoction contextual evidence</x:v>
      </x:c>
      <x:c r="AA175" s="20" t="str">
        <x:v>Row-level annotation; deduplicate by PMID for final reference-level counts</x:v>
      </x:c>
    </x:row>
    <x:row r="176">
      <x:c r="A176" s="20" t="str">
        <x:v>catechin</x:v>
      </x:c>
      <x:c r="B176" s="20" t="str">
        <x:v>Flavonoids</x:v>
      </x:c>
      <x:c r="C176" s="20" t="str">
        <x:v>白色石榴</x:v>
      </x:c>
      <x:c r="D176" s="20" t="str">
        <x:v>体外实验：MTT 法检测细胞毒性，使用正常视网膜细胞及乳腺癌、肺癌、结直肠癌细胞系；
计算机模拟：“foodinformatics” 方法预测成分的吸收与靶点</x:v>
      </x:c>
      <x:c r="E176" s="20" t="str">
        <x:v>In vitro</x:v>
      </x:c>
      <x:c r="F176" s="20" t="str">
        <x:v>not captured in source extraction</x:v>
      </x:c>
      <x:c r="G176" s="20" t="str">
        <x:v>not reported</x:v>
      </x:c>
      <x:c r="H176" s="20" t="str">
        <x:v>高胃肠道吸收/生物利用度；
参与抗癌作用
抗氧化</x:v>
      </x:c>
      <x:c r="I176" s="20" t="str">
        <x:v>not captured</x:v>
      </x:c>
      <x:c r="J176" s="20" t="str">
        <x:v>not reported</x:v>
      </x:c>
      <x:c r="K176" s="20" t="str">
        <x:v>not reported</x:v>
      </x:c>
      <x:c r="L176" s="20" t="str">
        <x:v>Level 3: cell-based mechanistic evidence</x:v>
      </x:c>
      <x:c r="M176" s="20" t="str">
        <x:v>ROS/ferroptosis</x:v>
      </x:c>
      <x:c r="N176" s="20" t="str">
        <x:v>36358999</x:v>
      </x:c>
      <x:c r="O176" s="20" t="str">
        <x:v>not available</x:v>
      </x:c>
      <x:c r="P176" s="20" t="str">
        <x:v>catechin\175-36358999-potential anticancer activity of pom source biles so 2022.pdf</x:v>
      </x:c>
      <x:c r="Q176" s="20" t="str">
        <x:v>not retained - incomplete bibliographic metadata</x:v>
      </x:c>
      <x:c r="R176" s="20" t="str">
        <x:v>Excluded: incomplete bibliographic title requiring verification</x:v>
      </x:c>
      <x:c r="S176" s="20" t="str">
        <x:v>2022</x:v>
      </x:c>
      <x:c r="T176" s="20" t="str">
        <x:v>2022/11/07</x:v>
      </x:c>
      <x:c r="U176" s="20" t="str">
        <x:v>catechin</x:v>
      </x:c>
      <x:c r="V176" s="20" t="str">
        <x:v>白色石榴</x:v>
      </x:c>
      <x:c r="W176" s="20" t="str">
        <x:v>Not established from supplied source field</x:v>
      </x:c>
      <x:c r="X176" s="20" t="str">
        <x:v>Generic botanical, dietary, computational, or unspecified association</x:v>
      </x:c>
      <x:c r="Y176" s="20" t="str">
        <x:v>PMID 36358999; not available</x:v>
      </x:c>
      <x:c r="Z176" s="20" t="str">
        <x:v>Not assessed for final attribution (excluded record)</x:v>
      </x:c>
      <x:c r="AA176" s="20" t="str">
        <x:v>Row-level annotation; deduplicate by PMID for final reference-level counts</x:v>
      </x:c>
    </x:row>
    <x:row r="177">
      <x:c r="A177" s="20" t="str">
        <x:v>catechin</x:v>
      </x:c>
      <x:c r="B177" s="20" t="str">
        <x:v>Flavonoids</x:v>
      </x:c>
      <x:c r="C177" s="20" t="str">
        <x:v>可可果壳</x:v>
      </x:c>
      <x:c r="D177" s="20" t="str">
        <x:v>体外结肠发酵模型：用于模拟人类结肠微生物代谢CPH；
细胞模型：人结肠癌细胞系 HT-29；
计算模型：用于预测化合物与HDAC6的相互作用</x:v>
      </x:c>
      <x:c r="E177" s="20" t="str">
        <x:v>In vitro</x:v>
      </x:c>
      <x:c r="F177" s="20" t="str">
        <x:v>not captured in source extraction</x:v>
      </x:c>
      <x:c r="G177" s="20" t="str">
        <x:v>组蛋白去乙酰化酶</x:v>
      </x:c>
      <x:c r="H177" s="20" t="str">
        <x:v>抑制HDAC活性；
诱导HT-29结肠癌细胞死亡；
破坏细胞膜完整性</x:v>
      </x:c>
      <x:c r="I177" s="20" t="str">
        <x:v>not captured</x:v>
      </x:c>
      <x:c r="J177" s="20" t="str">
        <x:v>not reported</x:v>
      </x:c>
      <x:c r="K177" s="20" t="str">
        <x:v>not reported</x:v>
      </x:c>
      <x:c r="L177" s="20" t="str">
        <x:v>Level 3: cell-based mechanistic evidence</x:v>
      </x:c>
      <x:c r="M177" s="20" t="str">
        <x:v>not assigned</x:v>
      </x:c>
      <x:c r="N177" s="20" t="str">
        <x:v>36102033</x:v>
      </x:c>
      <x:c r="O177" s="20" t="str">
        <x:v>PMID36102033</x:v>
      </x:c>
      <x:c r="P177" s="20" t="str">
        <x:v>catechin\176-36102033-effect of drying method on the produ source j food sci so 2022.pdf</x:v>
      </x:c>
      <x:c r="Q177" s="20" t="str">
        <x:v>Effect of drying method on the production of in vitro short-chain fatty acids and histone deacetylase mediation of cocoa pod husk.</x:v>
      </x:c>
      <x:c r="R177" s="20" t="str">
        <x:v>Included</x:v>
      </x:c>
      <x:c r="S177" s="20" t="str">
        <x:v>2022</x:v>
      </x:c>
      <x:c r="T177" s="20" t="str">
        <x:v>2022/10/01</x:v>
      </x:c>
      <x:c r="U177" s="20" t="str">
        <x:v>catechin</x:v>
      </x:c>
      <x:c r="V177" s="20" t="str">
        <x:v>可可果壳</x:v>
      </x:c>
      <x:c r="W177" s="20" t="str">
        <x:v>Not established from supplied source field</x:v>
      </x:c>
      <x:c r="X177" s="20" t="str">
        <x:v>Generic botanical, dietary, computational, or unspecified association</x:v>
      </x:c>
      <x:c r="Y177" s="20" t="str">
        <x:v>PMID 36102033; PMID36102033</x:v>
      </x:c>
      <x:c r="Z177" s="20" t="str">
        <x:v>Extract/formula/decoction contextual evidence</x:v>
      </x:c>
      <x:c r="AA177" s="20" t="str">
        <x:v>Row-level annotation; deduplicate by PMID for final reference-level counts</x:v>
      </x:c>
    </x:row>
    <x:row r="178">
      <x:c r="A178" s="20" t="str">
        <x:v>catechin</x:v>
      </x:c>
      <x:c r="B178" s="20" t="str">
        <x:v>Flavonoids</x:v>
      </x:c>
      <x:c r="C178" s="20" t="str">
        <x:v>葡萄（Vitis vinifera L.）果渣水提物</x:v>
      </x:c>
      <x:c r="D178" s="20" t="str">
        <x:v>LPS 诱导的小鼠结肠炎症模型</x:v>
      </x:c>
      <x:c r="E178" s="20" t="str">
        <x:v>In vivo</x:v>
      </x:c>
      <x:c r="F178" s="20" t="str">
        <x:v>not captured in source extraction</x:v>
      </x:c>
      <x:c r="G178" s="20" t="str">
        <x:v>间接靶点：CAT 基因表达、SOD 基因表达</x:v>
      </x:c>
      <x:c r="H178" s="20" t="str">
        <x:v>调节氧化应激平衡</x:v>
      </x:c>
      <x:c r="I178" s="20" t="str">
        <x:v>yes</x:v>
      </x:c>
      <x:c r="J178" s="20" t="str">
        <x:v>not reported</x:v>
      </x:c>
      <x:c r="K178" s="20" t="str">
        <x:v>not reported</x:v>
      </x:c>
      <x:c r="L178" s="20" t="str">
        <x:v>Contextual mixture/formulation evidence</x:v>
      </x:c>
      <x:c r="M178" s="20" t="str">
        <x:v>NF-kB/STAT3/inflammation; ROS/ferroptosis; Immune microenvironment</x:v>
      </x:c>
      <x:c r="N178" s="20" t="str">
        <x:v>36069605</x:v>
      </x:c>
      <x:c r="O178" s="20" t="str">
        <x:v>PMID36069605</x:v>
      </x:c>
      <x:c r="P178" s="20" t="str">
        <x:v>catechin\177-36069605-a grape vitis vinifera l pomace w source phytother res so 2022.pdf</x:v>
      </x:c>
      <x:c r="Q178" s="20" t="str">
        <x:v>A grape (Vitis vinifera L.) pomace water extract modulates inflammatory and immune response in SW-480 cells and isolated mouse colon.</x:v>
      </x:c>
      <x:c r="R178" s="20" t="str">
        <x:v>Excluded: no CRC-specific model or outcome extracted</x:v>
      </x:c>
      <x:c r="S178" s="20" t="str">
        <x:v>2022</x:v>
      </x:c>
      <x:c r="T178" s="20" t="str">
        <x:v>2022/12/01</x:v>
      </x:c>
      <x:c r="U178" s="20" t="str">
        <x:v>catechin</x:v>
      </x:c>
      <x:c r="V178" s="20" t="str">
        <x:v>葡萄（Vitis vinifera L.）果渣水提物</x:v>
      </x:c>
      <x:c r="W178" s="20" t="str">
        <x:v>Not established from supplied source field</x:v>
      </x:c>
      <x:c r="X178" s="20" t="str">
        <x:v>Generic botanical, dietary, computational, or unspecified association</x:v>
      </x:c>
      <x:c r="Y178" s="20" t="str">
        <x:v>PMID 36069605; PMID36069605</x:v>
      </x:c>
      <x:c r="Z178" s="20" t="str">
        <x:v>Not assessed for final attribution (excluded record)</x:v>
      </x:c>
      <x:c r="AA178" s="20" t="str">
        <x:v>Row-level annotation; deduplicate by PMID for final reference-level counts</x:v>
      </x:c>
    </x:row>
    <x:row r="179">
      <x:c r="A179" s="20" t="str">
        <x:v>catechin</x:v>
      </x:c>
      <x:c r="B179" s="20" t="str">
        <x:v>Flavonoids</x:v>
      </x:c>
      <x:c r="C179" s="20" t="str">
        <x:v>龙牙草Agrimonia pilosa Ledeb. (APL),</x:v>
      </x:c>
      <x:c r="D179" s="20" t="str">
        <x:v>化学成分分析，采用 UPLC-Q-TOF-MS 技术对经大孔树脂处理的样品进行成分鉴定。</x:v>
      </x:c>
      <x:c r="E179" s="20" t="str">
        <x:v>Not specified</x:v>
      </x:c>
      <x:c r="F179" s="20" t="str">
        <x:v>not captured in source extraction</x:v>
      </x:c>
      <x:c r="G179" s="20" t="str">
        <x:v>Akt 和 ERK1/2</x:v>
      </x:c>
      <x:c r="H179" s="20" t="str">
        <x:v>诱导细胞周期阻滞；
促进结直肠癌肿瘤细胞凋亡</x:v>
      </x:c>
      <x:c r="I179" s="20" t="str">
        <x:v>not captured</x:v>
      </x:c>
      <x:c r="J179" s="20" t="str">
        <x:v>not reported</x:v>
      </x:c>
      <x:c r="K179" s="20" t="str">
        <x:v>not reported</x:v>
      </x:c>
      <x:c r="L179" s="20" t="str">
        <x:v>Contextual mixture/formulation evidence</x:v>
      </x:c>
      <x:c r="M179" s="20" t="str">
        <x:v>Apoptosis/cell cycle; PI3K/Akt/mTOR/metabolism; MAPK/JNK/ERK</x:v>
      </x:c>
      <x:c r="N179" s="20" t="str">
        <x:v>40286126</x:v>
      </x:c>
      <x:c r="O179" s="20" t="str">
        <x:v>not available</x:v>
      </x:c>
      <x:c r="P179" s="20" t="str">
        <x:v>catechin\178-40286126-analysis of macroporous resin combin so 2025.pdf</x:v>
      </x:c>
      <x:c r="Q179" s="20" t="str">
        <x:v>not retained - incomplete bibliographic metadata</x:v>
      </x:c>
      <x:c r="R179" s="20" t="str">
        <x:v>Excluded: incomplete bibliographic title requiring verification</x:v>
      </x:c>
      <x:c r="S179" s="20" t="str">
        <x:v>2025</x:v>
      </x:c>
      <x:c r="T179" s="20" t="str">
        <x:v>2025/03/26</x:v>
      </x:c>
      <x:c r="U179" s="20" t="str">
        <x:v>catechin</x:v>
      </x:c>
      <x:c r="V179" s="20" t="str">
        <x:v>龙牙草Agrimonia pilosa Ledeb. (APL),</x:v>
      </x:c>
      <x:c r="W179" s="20" t="str">
        <x:v>Not established from supplied source field</x:v>
      </x:c>
      <x:c r="X179" s="20" t="str">
        <x:v>Generic botanical, dietary, computational, or unspecified association</x:v>
      </x:c>
      <x:c r="Y179" s="20" t="str">
        <x:v>PMID 40286126; not available</x:v>
      </x:c>
      <x:c r="Z179" s="20" t="str">
        <x:v>Not assessed for final attribution (excluded record)</x:v>
      </x:c>
      <x:c r="AA179" s="20" t="str">
        <x:v>Row-level annotation; deduplicate by PMID for final reference-level counts</x:v>
      </x:c>
    </x:row>
    <x:row r="180">
      <x:c r="A180" s="20" t="str">
        <x:v>Tanshinone IIA</x:v>
      </x:c>
      <x:c r="B180" s="20" t="str">
        <x:v>Diterpenoid quinones</x:v>
      </x:c>
      <x:c r="C180" s="20" t="str">
        <x:v>丹参</x:v>
      </x:c>
      <x:c r="D180" s="20" t="str">
        <x:v>结直肠癌细胞（含5-Fu耐药细胞）</x:v>
      </x:c>
      <x:c r="E180" s="20" t="str">
        <x:v>In vitro</x:v>
      </x:c>
      <x:c r="F180" s="20" t="str">
        <x:v>not captured in source extraction</x:v>
      </x:c>
      <x:c r="G180" s="20" t="str">
        <x:v>Akt/WEE1/CDK1 信号通路被抑制</x:v>
      </x:c>
      <x:c r="H180" s="20" t="str">
        <x:v>抑制 survivin 磷酸化，破坏 USP1-survivin 相互作用，促进 survivin 泛素化降解，增强 5-Fu 敏感性</x:v>
      </x:c>
      <x:c r="I180" s="20" t="str">
        <x:v>not captured</x:v>
      </x:c>
      <x:c r="J180" s="20" t="str">
        <x:v>not reported</x:v>
      </x:c>
      <x:c r="K180" s="20" t="str">
        <x:v>not reported</x:v>
      </x:c>
      <x:c r="L180" s="20" t="str">
        <x:v>Level 3: cell-based mechanistic evidence</x:v>
      </x:c>
      <x:c r="M180" s="20" t="str">
        <x:v>PI3K/Akt/mTOR/metabolism</x:v>
      </x:c>
      <x:c r="N180" s="20" t="str">
        <x:v>37749082</x:v>
      </x:c>
      <x:c r="O180" s="20" t="str">
        <x:v>PMID37749082</x:v>
      </x:c>
      <x:c r="P180" s="20" t="str">
        <x:v>Tanshinone IIA\179-37749082-targeting survivin with tanshinone i source cell death discov so 2023.pdf</x:v>
      </x:c>
      <x:c r="Q180" s="20" t="str">
        <x:v>Targeting survivin with Tanshinone IIA inhibits tumor growth and overcomes chemoresistance in colorectal cancer.</x:v>
      </x:c>
      <x:c r="R180" s="20" t="str">
        <x:v>Included</x:v>
      </x:c>
      <x:c r="S180" s="20" t="str">
        <x:v>2023</x:v>
      </x:c>
      <x:c r="T180" s="20" t="str">
        <x:v>2023/09/25</x:v>
      </x:c>
      <x:c r="U180" s="20" t="str">
        <x:v>Tanshinone IIA</x:v>
      </x:c>
      <x:c r="V180" s="20" t="str">
        <x:v>丹参</x:v>
      </x:c>
      <x:c r="W180" s="20" t="str">
        <x:v>Yes—directly traceable in supplied records</x:v>
      </x:c>
      <x:c r="X180" s="20" t="str">
        <x:v>Constituent of Danshen (Salvia miltiorrhiza)</x:v>
      </x:c>
      <x:c r="Y180" s="20" t="str">
        <x:v>PMID 37749082; PMID37749082</x:v>
      </x:c>
      <x:c r="Z180" s="20" t="str">
        <x:v>Purified isolated compound: Tanshinone IIA</x:v>
      </x:c>
      <x:c r="AA180" s="20" t="str">
        <x:v>Row-level annotation; deduplicate by PMID for final reference-level counts</x:v>
      </x:c>
    </x:row>
    <x:row r="181">
      <x:c r="A181" s="20" t="str">
        <x:v>Tanshinone IIA</x:v>
      </x:c>
      <x:c r="B181" s="20" t="str">
        <x:v>Diterpenoid quinones</x:v>
      </x:c>
      <x:c r="C181" s="20" t="str">
        <x:v>丹参</x:v>
      </x:c>
      <x:c r="D181" s="20" t="str">
        <x:v>体外人结直肠癌（CRC）细胞系细胞实验 + 小鼠体内异种移植模型</x:v>
      </x:c>
      <x:c r="E181" s="20" t="str">
        <x:v>In vitro + in vivo</x:v>
      </x:c>
      <x:c r="F181" s="20" t="str">
        <x:v>not captured in source extraction</x:v>
      </x:c>
      <x:c r="G181" s="20" t="str">
        <x:v>ROS/JNK 信号通路</x:v>
      </x:c>
      <x:c r="H181" s="20" t="str">
        <x:v>1 显著抑制结直肠癌细胞的增殖能力
2 诱导细胞凋亡
3 诱导细胞自噬
4 在体内显著抑制肿瘤生长
5 激活ROS 的产生</x:v>
      </x:c>
      <x:c r="I181" s="20" t="str">
        <x:v>not captured</x:v>
      </x:c>
      <x:c r="J181" s="20" t="str">
        <x:v>not reported</x:v>
      </x:c>
      <x:c r="K181" s="20" t="str">
        <x:v>not reported</x:v>
      </x:c>
      <x:c r="L181" s="20" t="str">
        <x:v>Level 1: animal-validated mechanistic evidence</x:v>
      </x:c>
      <x:c r="M181" s="20" t="str">
        <x:v>Apoptosis/cell cycle; MAPK/JNK/ERK; ROS/ferroptosis</x:v>
      </x:c>
      <x:c r="N181" s="20" t="str">
        <x:v>35593352</x:v>
      </x:c>
      <x:c r="O181" s="20" t="str">
        <x:v>PMID35593352</x:v>
      </x:c>
      <x:c r="P181" s="20" t="str">
        <x:v>Tanshinone IIA\180-35593352-tanshinone iia alleviates the biological chara source anticancer agents med chem 2022 apr 21.pdf</x:v>
      </x:c>
      <x:c r="Q181" s="20" t="str">
        <x:v>Tanshinone IIA Alleviates the Biological Characteristics of Colorectal Cancer via Activating the ROS/JNK Signaling Pathway.</x:v>
      </x:c>
      <x:c r="R181" s="20" t="str">
        <x:v>Included</x:v>
      </x:c>
      <x:c r="S181" s="20" t="str">
        <x:v>2023</x:v>
      </x:c>
      <x:c r="T181" s="20" t="str">
        <x:v>2023/01/01</x:v>
      </x:c>
      <x:c r="U181" s="20" t="str">
        <x:v>Tanshinone IIA</x:v>
      </x:c>
      <x:c r="V181" s="20" t="str">
        <x:v>丹参</x:v>
      </x:c>
      <x:c r="W181" s="20" t="str">
        <x:v>Yes—directly traceable in supplied records</x:v>
      </x:c>
      <x:c r="X181" s="20" t="str">
        <x:v>Constituent of Danshen (Salvia miltiorrhiza)</x:v>
      </x:c>
      <x:c r="Y181" s="20" t="str">
        <x:v>PMID 35593352; PMID35593352</x:v>
      </x:c>
      <x:c r="Z181" s="20" t="str">
        <x:v>Purified isolated compound: Tanshinone IIA</x:v>
      </x:c>
      <x:c r="AA181" s="20" t="str">
        <x:v>Row-level annotation; deduplicate by PMID for final reference-level counts</x:v>
      </x:c>
    </x:row>
    <x:row r="182">
      <x:c r="A182" s="20" t="str">
        <x:v>Tanshinone IIA</x:v>
      </x:c>
      <x:c r="B182" s="20" t="str">
        <x:v>Diterpenoid quinones</x:v>
      </x:c>
      <x:c r="C182" s="20" t="str">
        <x:v>丹参</x:v>
      </x:c>
      <x:c r="D182" s="20" t="str">
        <x:v>HCT116 和 SW480 结直肠癌细胞系（体外）</x:v>
      </x:c>
      <x:c r="E182" s="20" t="str">
        <x:v>In vitro</x:v>
      </x:c>
      <x:c r="F182" s="20" t="str">
        <x:v>not captured in source extraction</x:v>
      </x:c>
      <x:c r="G182" s="20" t="str">
        <x:v>主要为 PI3K/AKT，其次为 cAMP 和 TNF 通路；PI3K/AKT 最富集</x:v>
      </x:c>
      <x:c r="H182" s="20" t="str">
        <x:v>抑制增殖、抑制迁移、诱导凋亡</x:v>
      </x:c>
      <x:c r="I182" s="20" t="str">
        <x:v>not captured</x:v>
      </x:c>
      <x:c r="J182" s="20" t="str">
        <x:v>not reported</x:v>
      </x:c>
      <x:c r="K182" s="20" t="str">
        <x:v>not reported</x:v>
      </x:c>
      <x:c r="L182" s="20" t="str">
        <x:v>Level 3: cell-based mechanistic evidence</x:v>
      </x:c>
      <x:c r="M182" s="20" t="str">
        <x:v>Apoptosis/cell cycle; PI3K/Akt/mTOR/metabolism; EMT/ECM/metastasis</x:v>
      </x:c>
      <x:c r="N182" s="20" t="str">
        <x:v>40255473</x:v>
      </x:c>
      <x:c r="O182" s="20" t="str">
        <x:v>PMID40255473</x:v>
      </x:c>
      <x:c r="P182" s="20" t="str">
        <x:v>Tanshinone IIA\181-40255473-network pharmacology molecular dock source drug des devel ther so 2025.pdf</x:v>
      </x:c>
      <x:c r="Q182" s="20" t="str">
        <x:v>Network Pharmacology, Molecular Docking, and in vitro Experiments Reveal the Role and Mechanism of Tanshinone IIA in Colorectal Cancer Treatment Through the PI3K/AKT Pathway.</x:v>
      </x:c>
      <x:c r="R182" s="20" t="str">
        <x:v>Included</x:v>
      </x:c>
      <x:c r="S182" s="20" t="str">
        <x:v>2025</x:v>
      </x:c>
      <x:c r="T182" s="20" t="str">
        <x:v>2025/04/16</x:v>
      </x:c>
      <x:c r="U182" s="20" t="str">
        <x:v>Tanshinone IIA</x:v>
      </x:c>
      <x:c r="V182" s="20" t="str">
        <x:v>丹参</x:v>
      </x:c>
      <x:c r="W182" s="20" t="str">
        <x:v>Yes—directly traceable in supplied records</x:v>
      </x:c>
      <x:c r="X182" s="20" t="str">
        <x:v>Constituent of Danshen (Salvia miltiorrhiza)</x:v>
      </x:c>
      <x:c r="Y182" s="20" t="str">
        <x:v>PMID 40255473; PMID40255473</x:v>
      </x:c>
      <x:c r="Z182" s="20" t="str">
        <x:v>Purified isolated compound: Tanshinone IIA</x:v>
      </x:c>
      <x:c r="AA182" s="20" t="str">
        <x:v>Row-level annotation; deduplicate by PMID for final reference-level counts</x:v>
      </x:c>
    </x:row>
    <x:row r="183">
      <x:c r="A183" s="20" t="str">
        <x:v>Tanshinone IIA</x:v>
      </x:c>
      <x:c r="B183" s="20" t="str">
        <x:v>Diterpenoid quinones</x:v>
      </x:c>
      <x:c r="C183" s="20" t="str">
        <x:v>传统中药丹参（Salvia miltiorrhiza）的根部</x:v>
      </x:c>
      <x:c r="D183" s="20" t="str">
        <x:v>多种人类癌细胞系的体外实验， 乳腺癌、宫颈癌
、结直肠癌、胃癌、肺癌、前列腺癌</x:v>
      </x:c>
      <x:c r="E183" s="20" t="str">
        <x:v>In vitro</x:v>
      </x:c>
      <x:c r="F183" s="20" t="str">
        <x:v>not captured in source extraction</x:v>
      </x:c>
      <x:c r="G183" s="20" t="str">
        <x:v>PI3K/Akt 通路；JAK/STAT 通路； IGF-1R 通路；Bcl-2-Caspase 通路</x:v>
      </x:c>
      <x:c r="H183" s="20" t="str">
        <x:v>抑制肿瘤细胞的生长与增殖
抑制转移 侵袭
抑制血管生成 
诱导细胞凋亡 
诱导自噬</x:v>
      </x:c>
      <x:c r="I183" s="20" t="str">
        <x:v>not captured</x:v>
      </x:c>
      <x:c r="J183" s="20" t="str">
        <x:v>not reported</x:v>
      </x:c>
      <x:c r="K183" s="20" t="str">
        <x:v>not reported</x:v>
      </x:c>
      <x:c r="L183" s="20" t="str">
        <x:v>Level 3: cell-based mechanistic evidence</x:v>
      </x:c>
      <x:c r="M183" s="20" t="str">
        <x:v>Apoptosis/cell cycle; PI3K/Akt/mTOR/metabolism; EMT/ECM/metastasis</x:v>
      </x:c>
      <x:c r="N183" s="20" t="str">
        <x:v>37440106</x:v>
      </x:c>
      <x:c r="O183" s="20" t="str">
        <x:v>PMID37440106</x:v>
      </x:c>
      <x:c r="P183" s="20" t="str">
        <x:v>Tanshinone IIA\182-37440106-tanshinone iia targeting cell signal source pharmacol rep so 2023.pdf</x:v>
      </x:c>
      <x:c r="Q183" s="20" t="str">
        <x:v>Tanshinone IIA targeting cell signaling pathways: a plausible paradigm for cancer therapy.</x:v>
      </x:c>
      <x:c r="R183" s="20" t="str">
        <x:v>Included</x:v>
      </x:c>
      <x:c r="S183" s="20" t="str">
        <x:v>2023</x:v>
      </x:c>
      <x:c r="T183" s="20" t="str">
        <x:v>2023/08/01</x:v>
      </x:c>
      <x:c r="U183" s="20" t="str">
        <x:v>Tanshinone IIA</x:v>
      </x:c>
      <x:c r="V183" s="20" t="str">
        <x:v>传统中药丹参（Salvia miltiorrhiza）的根部</x:v>
      </x:c>
      <x:c r="W183" s="20" t="str">
        <x:v>Yes—directly traceable in supplied records</x:v>
      </x:c>
      <x:c r="X183" s="20" t="str">
        <x:v>Constituent of Danshen (Salvia miltiorrhiza)</x:v>
      </x:c>
      <x:c r="Y183" s="20" t="str">
        <x:v>PMID 37440106; PMID37440106</x:v>
      </x:c>
      <x:c r="Z183" s="20" t="str">
        <x:v>Review/background evidence</x:v>
      </x:c>
      <x:c r="AA183" s="20" t="str">
        <x:v>Row-level annotation; deduplicate by PMID for final reference-level counts</x:v>
      </x:c>
    </x:row>
    <x:row r="184">
      <x:c r="A184" s="20" t="str">
        <x:v>Tanshinone IIA</x:v>
      </x:c>
      <x:c r="B184" s="20" t="str">
        <x:v>Diterpenoid quinones</x:v>
      </x:c>
      <x:c r="C184" s="20" t="str">
        <x:v>丹参</x:v>
      </x:c>
      <x:c r="D184" s="20" t="str">
        <x:v>体外：结直肠癌细胞；体内：动物模型</x:v>
      </x:c>
      <x:c r="E184" s="20" t="str">
        <x:v>In vitro + in vivo</x:v>
      </x:c>
      <x:c r="F184" s="20" t="str">
        <x:v>not captured in source extraction</x:v>
      </x:c>
      <x:c r="G184" s="20" t="str">
        <x:v>p38MAPK 信号通路（磷酸化激活 → ATF-2↑ → Transgelin-2↓）</x:v>
      </x:c>
      <x:c r="H184" s="20" t="str">
        <x:v>抑制增殖、诱导凋亡、G0/G1 阻滞、改变细胞骨架、抑制肿瘤生长、延长生存</x:v>
      </x:c>
      <x:c r="I184" s="20" t="str">
        <x:v>not captured</x:v>
      </x:c>
      <x:c r="J184" s="20" t="str">
        <x:v>not reported</x:v>
      </x:c>
      <x:c r="K184" s="20" t="str">
        <x:v>not reported</x:v>
      </x:c>
      <x:c r="L184" s="20" t="str">
        <x:v>Level 1: animal-validated mechanistic evidence</x:v>
      </x:c>
      <x:c r="M184" s="20" t="str">
        <x:v>Apoptosis/cell cycle; MAPK/JNK/ERK</x:v>
      </x:c>
      <x:c r="N184" s="20" t="str">
        <x:v>36204303</x:v>
      </x:c>
      <x:c r="O184" s="20" t="str">
        <x:v>PMID36204303</x:v>
      </x:c>
      <x:c r="P184" s="20" t="str">
        <x:v>Tanshinone IIA\183-36204303-transgelin 2 involves in the apoptos source anal cell pathol amst so 2022 2022 9358583.pdf</x:v>
      </x:c>
      <x:c r="Q184" s="20" t="str">
        <x:v>Transgelin-2 Involves in the Apoptosis of Colorectal Cancer Cells Induced by Tanshinone-IIA.</x:v>
      </x:c>
      <x:c r="R184" s="20" t="str">
        <x:v>Included</x:v>
      </x:c>
      <x:c r="S184" s="20" t="str">
        <x:v>2022</x:v>
      </x:c>
      <x:c r="T184" s="20" t="str">
        <x:v>2022/09/27</x:v>
      </x:c>
      <x:c r="U184" s="20" t="str">
        <x:v>Tanshinone IIA</x:v>
      </x:c>
      <x:c r="V184" s="20" t="str">
        <x:v>丹参</x:v>
      </x:c>
      <x:c r="W184" s="20" t="str">
        <x:v>Yes—directly traceable in supplied records</x:v>
      </x:c>
      <x:c r="X184" s="20" t="str">
        <x:v>Constituent of Danshen (Salvia miltiorrhiza)</x:v>
      </x:c>
      <x:c r="Y184" s="20" t="str">
        <x:v>PMID 36204303; PMID36204303</x:v>
      </x:c>
      <x:c r="Z184" s="20" t="str">
        <x:v>Purified isolated compound: Tanshinone IIA</x:v>
      </x:c>
      <x:c r="AA184" s="20" t="str">
        <x:v>Row-level annotation; deduplicate by PMID for final reference-level counts</x:v>
      </x:c>
    </x:row>
    <x:row r="185">
      <x:c r="A185" s="20" t="str">
        <x:v>Tanshinone IIA</x:v>
      </x:c>
      <x:c r="B185" s="20" t="str">
        <x:v>Diterpenoid quinones</x:v>
      </x:c>
      <x:c r="C185" s="20" t="str">
        <x:v>丹参</x:v>
      </x:c>
      <x:c r="D185" s="20" t="str">
        <x:v>人结直肠癌细胞系</x:v>
      </x:c>
      <x:c r="E185" s="20" t="str">
        <x:v>In vitro</x:v>
      </x:c>
      <x:c r="F185" s="20" t="str">
        <x:v>not captured in source extraction</x:v>
      </x:c>
      <x:c r="G185" s="20" t="str">
        <x:v>ROS/JNK/STAT3 信号轴</x:v>
      </x:c>
      <x:c r="H185" s="20" t="str">
        <x:v>1.诱导线粒体功能障碍
2.抑制肿瘤生长
3.触发癌细胞凋亡
4.抑制增殖</x:v>
      </x:c>
      <x:c r="I185" s="20" t="str">
        <x:v>not captured</x:v>
      </x:c>
      <x:c r="J185" s="20" t="str">
        <x:v>not reported</x:v>
      </x:c>
      <x:c r="K185" s="20" t="str">
        <x:v>not reported</x:v>
      </x:c>
      <x:c r="L185" s="20" t="str">
        <x:v>Contextual review-only</x:v>
      </x:c>
      <x:c r="M185" s="20" t="str">
        <x:v>Apoptosis/cell cycle; NF-kB/STAT3/inflammation; MAPK/JNK/ERK; ROS/ferroptosis</x:v>
      </x:c>
      <x:c r="N185" s="20" t="str">
        <x:v>40488304</x:v>
      </x:c>
      <x:c r="O185" s="20" t="str">
        <x:v>PMID40488304</x:v>
      </x:c>
      <x:c r="P185" s="20" t="str">
        <x:v>Kaempferol\56-40488304-Herbal Medicine for Colorectal Cance Source Cell Prolif SO 2025 (1).pdf</x:v>
      </x:c>
      <x:c r="Q185" s="20" t="str">
        <x:v>Herbal Medicine for Colorectal Cancer Treatment: Molecular Mechanisms and Clinical Applications.</x:v>
      </x:c>
      <x:c r="R185" s="20" t="str">
        <x:v>Included</x:v>
      </x:c>
      <x:c r="S185" s="20" t="str">
        <x:v>2025</x:v>
      </x:c>
      <x:c r="T185" s="20" t="str">
        <x:v>2025/10/01</x:v>
      </x:c>
      <x:c r="U185" s="20" t="str">
        <x:v>Tanshinone IIA</x:v>
      </x:c>
      <x:c r="V185" s="20" t="str">
        <x:v>丹参</x:v>
      </x:c>
      <x:c r="W185" s="20" t="str">
        <x:v>Yes—directly traceable in supplied records</x:v>
      </x:c>
      <x:c r="X185" s="20" t="str">
        <x:v>Constituent of Danshen (Salvia miltiorrhiza)</x:v>
      </x:c>
      <x:c r="Y185" s="20" t="str">
        <x:v>PMID 40488304; PMID40488304</x:v>
      </x:c>
      <x:c r="Z185" s="20" t="str">
        <x:v>Review/background evidence</x:v>
      </x:c>
      <x:c r="AA185" s="20" t="str">
        <x:v>Row-level annotation; deduplicate by PMID for final reference-level counts</x:v>
      </x:c>
    </x:row>
    <x:row r="186">
      <x:c r="A186" s="20" t="str">
        <x:v>Tanshinone IIA</x:v>
      </x:c>
      <x:c r="B186" s="20" t="str">
        <x:v>Diterpenoid quinones</x:v>
      </x:c>
      <x:c r="C186" s="20" t="str">
        <x:v>丹参</x:v>
      </x:c>
      <x:c r="D186" s="20" t="str">
        <x:v>1. 体内模型（in vivo）： AOM/DSS诱导的结肠炎相关性结直肠癌小鼠模型），使用雄性C57BL/6小鼠；
2. 体外模型（in vitro）： 脂多糖（LPS）诱导的中性粒细胞活化实验</x:v>
      </x:c>
      <x:c r="E186" s="20" t="str">
        <x:v>In vitro + in vivo</x:v>
      </x:c>
      <x:c r="F186" s="20" t="str">
        <x:v>AOM 10 mg/kg and 2.5% DSS; tanshinone IIA 200 mg/kg intraperitoneally</x:v>
      </x:c>
      <x:c r="G186" s="20" t="str">
        <x:v>NF-κB 信号通路</x:v>
      </x:c>
      <x:c r="H186" s="20" t="str">
        <x:v>1. 显著减少结直肠肿瘤形成
2. 降低肠道通透性
3. 减少结肠黏膜中性粒细胞浸润
4. 抑制结肠炎症
5. 抑制中性粒细胞活化</x:v>
      </x:c>
      <x:c r="I186" s="20" t="str">
        <x:v>not captured</x:v>
      </x:c>
      <x:c r="J186" s="20" t="str">
        <x:v>not reported</x:v>
      </x:c>
      <x:c r="K186" s="20" t="str">
        <x:v>not reported</x:v>
      </x:c>
      <x:c r="L186" s="20" t="str">
        <x:v>Level 1: animal-validated mechanistic evidence</x:v>
      </x:c>
      <x:c r="M186" s="20" t="str">
        <x:v>NF-kB/STAT3/inflammation</x:v>
      </x:c>
      <x:c r="N186" s="20" t="str">
        <x:v>33535870</x:v>
      </x:c>
      <x:c r="O186" s="20" t="str">
        <x:v>PMID33535870</x:v>
      </x:c>
      <x:c r="P186" s="20" t="str">
        <x:v>Tanshinone IIA\185-33535870-tanshinone iia attenuates aomdss-induced colorectal tumorigenesis in mice via inhibit.pdf</x:v>
      </x:c>
      <x:c r="Q186" s="20" t="str">
        <x:v>Tanshinone IIA attenuates AOM/DSS-induced colorectal tumorigenesis in mice via inhibition of intestinal inflammation.</x:v>
      </x:c>
      <x:c r="R186" s="20" t="str">
        <x:v>Included</x:v>
      </x:c>
      <x:c r="S186" s="20" t="str">
        <x:v>2021</x:v>
      </x:c>
      <x:c r="T186" s="20" t="str">
        <x:v>2021/12/01</x:v>
      </x:c>
      <x:c r="U186" s="20" t="str">
        <x:v>Tanshinone IIA</x:v>
      </x:c>
      <x:c r="V186" s="20" t="str">
        <x:v>丹参</x:v>
      </x:c>
      <x:c r="W186" s="20" t="str">
        <x:v>Yes—directly traceable in supplied records</x:v>
      </x:c>
      <x:c r="X186" s="20" t="str">
        <x:v>Constituent of Danshen (Salvia miltiorrhiza)</x:v>
      </x:c>
      <x:c r="Y186" s="20" t="str">
        <x:v>PMID 33535870; PMID33535870</x:v>
      </x:c>
      <x:c r="Z186" s="20" t="str">
        <x:v>Purified isolated compound: Tanshinone IIA</x:v>
      </x:c>
      <x:c r="AA186" s="20" t="str">
        <x:v>Row-level annotation; deduplicate by PMID for final reference-level counts</x:v>
      </x:c>
    </x:row>
    <x:row r="187">
      <x:c r="A187" s="20" t="str">
        <x:v>Tanshinone IIA</x:v>
      </x:c>
      <x:c r="B187" s="20" t="str">
        <x:v>Diterpenoid quinones</x:v>
      </x:c>
      <x:c r="C187" s="20" t="str">
        <x:v>丹参</x:v>
      </x:c>
      <x:c r="D187" s="20" t="str">
        <x:v>体外模型：人结直肠癌细胞系 OUMS23 细胞
体内模型：结直肠癌皮下移植瘤小鼠模型</x:v>
      </x:c>
      <x:c r="E187" s="20" t="str">
        <x:v>In vitro + in vivo</x:v>
      </x:c>
      <x:c r="F187" s="20" t="str">
        <x:v>not captured in source extraction</x:v>
      </x:c>
      <x:c r="G187" s="20" t="str">
        <x:v>PI3K/AKT/mTOR 信号通路。</x:v>
      </x:c>
      <x:c r="H187" s="20" t="str">
        <x:v>抑制结直肠癌细胞增殖；
诱导细胞凋亡；
诱导铁死亡：表现为细胞内 Fe²⁺ 和总铁水平升高、脂质 ROS 积累；
抑制 SLC7A11 基因和蛋白表达；
抑制 PI3K/AKT/mTOR 通路活化（降低 p-AKT、p-mTOR 水平）</x:v>
      </x:c>
      <x:c r="I187" s="20" t="str">
        <x:v>not captured</x:v>
      </x:c>
      <x:c r="J187" s="20" t="str">
        <x:v>not reported</x:v>
      </x:c>
      <x:c r="K187" s="20" t="str">
        <x:v>not reported</x:v>
      </x:c>
      <x:c r="L187" s="20" t="str">
        <x:v>Level 1: animal-validated mechanistic evidence</x:v>
      </x:c>
      <x:c r="M187" s="20" t="str">
        <x:v>Apoptosis/cell cycle; PI3K/Akt/mTOR/metabolism; ROS/ferroptosis</x:v>
      </x:c>
      <x:c r="N187" s="20" t="str">
        <x:v>40618168</x:v>
      </x:c>
      <x:c r="O187" s="20" t="str">
        <x:v>PMID40618168</x:v>
      </x:c>
      <x:c r="P187" s="20" t="str">
        <x:v>Tanshinone IIA\186-40618168-tanshinone iia induces ferroptosis i source eur j med res so 2025.pdf</x:v>
      </x:c>
      <x:c r="Q187" s="20" t="str">
        <x:v>Tanshinone IIA induces ferroptosis in colorectal cancer cells through the suppression of SLC7A11 expression via the PI3K/AKT/mTOR pathway.</x:v>
      </x:c>
      <x:c r="R187" s="20" t="str">
        <x:v>Included</x:v>
      </x:c>
      <x:c r="S187" s="20" t="str">
        <x:v>2025</x:v>
      </x:c>
      <x:c r="T187" s="20" t="str">
        <x:v>2025/07/05</x:v>
      </x:c>
      <x:c r="U187" s="20" t="str">
        <x:v>Tanshinone IIA</x:v>
      </x:c>
      <x:c r="V187" s="20" t="str">
        <x:v>丹参</x:v>
      </x:c>
      <x:c r="W187" s="20" t="str">
        <x:v>Yes—directly traceable in supplied records</x:v>
      </x:c>
      <x:c r="X187" s="20" t="str">
        <x:v>Constituent of Danshen (Salvia miltiorrhiza)</x:v>
      </x:c>
      <x:c r="Y187" s="20" t="str">
        <x:v>PMID 40618168; PMID40618168</x:v>
      </x:c>
      <x:c r="Z187" s="20" t="str">
        <x:v>Purified isolated compound: Tanshinone IIA</x:v>
      </x:c>
      <x:c r="AA187" s="20" t="str">
        <x:v>Row-level annotation; deduplicate by PMID for final reference-level counts</x:v>
      </x:c>
    </x:row>
    <x:row r="188">
      <x:c r="A188" s="20" t="str">
        <x:v>Tanshinone IIA</x:v>
      </x:c>
      <x:c r="B188" s="20" t="str">
        <x:v>Diterpenoid quinones</x:v>
      </x:c>
      <x:c r="C188" s="20" t="str">
        <x:v>丹参</x:v>
      </x:c>
      <x:c r="D188" s="20" t="str">
        <x:v>体外模型：正常人结肠上皮细胞 FHC
结直肠癌细胞系：HCT116、HT29、SW620
5-Fu耐药细胞系：HCT116R、HT29R
体内模型：
裸鼠异种移植瘤模型</x:v>
      </x:c>
      <x:c r="E188" s="20" t="str">
        <x:v>In vitro + in vivo</x:v>
      </x:c>
      <x:c r="F188" s="20" t="str">
        <x:v>Tanshinone IIA 5 mg/kg every 2 days intraperitoneally in xenograft mice</x:v>
      </x:c>
      <x:c r="G188" s="20" t="str">
        <x:v>Tan IIA → 抑制 USP2 与 Skp2 的相互作用 → 促进 Skp2 泛素化降解 → 抑制 Skp2/Akt/HK2 信号轴 → 抑制糖酵解 → 诱导线粒体依赖性凋亡 → 克服5-Fu耐药</x:v>
      </x:c>
      <x:c r="H188" s="20" t="str">
        <x:v>抑制CRC细胞增殖
抑制软琼脂集落形成
抑制糖酵解
诱导线粒体途径凋亡
克服5-Fu耐药
抑制体内肿瘤生长</x:v>
      </x:c>
      <x:c r="I188" s="20" t="str">
        <x:v>not captured</x:v>
      </x:c>
      <x:c r="J188" s="20" t="str">
        <x:v>not reported</x:v>
      </x:c>
      <x:c r="K188" s="20" t="str">
        <x:v>not reported</x:v>
      </x:c>
      <x:c r="L188" s="20" t="str">
        <x:v>Level 1: animal-validated mechanistic evidence</x:v>
      </x:c>
      <x:c r="M188" s="20" t="str">
        <x:v>Apoptosis/cell cycle; PI3K/Akt/mTOR/metabolism</x:v>
      </x:c>
      <x:c r="N188" s="20" t="str">
        <x:v>41051621</x:v>
      </x:c>
      <x:c r="O188" s="20" t="str">
        <x:v>PMID41051621</x:v>
      </x:c>
      <x:c r="P188" s="20" t="str">
        <x:v>Tanshinone IIA\187-41051621-targeting skp2 by tanshinone iia ove source cell biol toxicol so 2025.pdf</x:v>
      </x:c>
      <x:c r="Q188" s="20" t="str">
        <x:v>Targeting Skp2 by Tanshinone IIA overcomes chemoresistance in colorectal cancer.</x:v>
      </x:c>
      <x:c r="R188" s="20" t="str">
        <x:v>Included</x:v>
      </x:c>
      <x:c r="S188" s="20" t="str">
        <x:v>2025</x:v>
      </x:c>
      <x:c r="T188" s="20" t="str">
        <x:v>2025/10/06</x:v>
      </x:c>
      <x:c r="U188" s="20" t="str">
        <x:v>Tanshinone IIA</x:v>
      </x:c>
      <x:c r="V188" s="20" t="str">
        <x:v>丹参</x:v>
      </x:c>
      <x:c r="W188" s="20" t="str">
        <x:v>Yes—directly traceable in supplied records</x:v>
      </x:c>
      <x:c r="X188" s="20" t="str">
        <x:v>Constituent of Danshen (Salvia miltiorrhiza)</x:v>
      </x:c>
      <x:c r="Y188" s="20" t="str">
        <x:v>PMID 41051621; PMID41051621</x:v>
      </x:c>
      <x:c r="Z188" s="20" t="str">
        <x:v>Purified isolated compound: Tanshinone IIA</x:v>
      </x:c>
      <x:c r="AA188" s="20" t="str">
        <x:v>Row-level annotation; deduplicate by PMID for final reference-level counts</x:v>
      </x:c>
    </x:row>
    <x:row r="189">
      <x:c r="A189" s="20" t="str">
        <x:v>Tanshinone IIA</x:v>
      </x:c>
      <x:c r="B189" s="20" t="str">
        <x:v>Diterpenoid quinones</x:v>
      </x:c>
      <x:c r="C189" s="20" t="str">
        <x:v>丹参</x:v>
      </x:c>
      <x:c r="D189" s="20" t="str">
        <x:v>动物模型：HT-29 结肠癌异种移植 + 后肢缺血模型</x:v>
      </x:c>
      <x:c r="E189" s="20" t="str">
        <x:v>In vitro + in vivo</x:v>
      </x:c>
      <x:c r="F189" s="20" t="str">
        <x:v>not captured in source extraction</x:v>
      </x:c>
      <x:c r="G189" s="20" t="str">
        <x:v>Ang2/Tie2/AKT/MLCK 信号级联</x:v>
      </x:c>
      <x:c r="H189" s="20" t="str">
        <x:v>血管正常化、改善血流、减轻缺氧、减少渗漏、修复组织损伤</x:v>
      </x:c>
      <x:c r="I189" s="20" t="str">
        <x:v>not captured</x:v>
      </x:c>
      <x:c r="J189" s="20" t="str">
        <x:v>not reported</x:v>
      </x:c>
      <x:c r="K189" s="20" t="str">
        <x:v>not reported</x:v>
      </x:c>
      <x:c r="L189" s="20" t="str">
        <x:v>Level 1: animal-validated mechanistic evidence</x:v>
      </x:c>
      <x:c r="M189" s="20" t="str">
        <x:v>PI3K/Akt/mTOR/metabolism</x:v>
      </x:c>
      <x:c r="N189" s="20" t="str">
        <x:v>34804370</x:v>
      </x:c>
      <x:c r="O189" s="20" t="str">
        <x:v>PMID34804370</x:v>
      </x:c>
      <x:c r="P189" s="20" t="str">
        <x:v>Tanshinone IIA\188-34804370-targeting the ang2 tie2 axis with ta source oxid med cell longev so 2021 2021 7037786.pdf</x:v>
      </x:c>
      <x:c r="Q189" s="20" t="str">
        <x:v>Targeting the Ang2/Tie2 Axis with Tanshinone IIA Elicits Vascular Normalization in Ischemic Injury and Colon Cancer.</x:v>
      </x:c>
      <x:c r="R189" s="20" t="str">
        <x:v>Included</x:v>
      </x:c>
      <x:c r="S189" s="20" t="str">
        <x:v>2021</x:v>
      </x:c>
      <x:c r="T189" s="20" t="str">
        <x:v>2021/11/10</x:v>
      </x:c>
      <x:c r="U189" s="20" t="str">
        <x:v>Tanshinone IIA</x:v>
      </x:c>
      <x:c r="V189" s="20" t="str">
        <x:v>丹参</x:v>
      </x:c>
      <x:c r="W189" s="20" t="str">
        <x:v>Yes—directly traceable in supplied records</x:v>
      </x:c>
      <x:c r="X189" s="20" t="str">
        <x:v>Constituent of Danshen (Salvia miltiorrhiza)</x:v>
      </x:c>
      <x:c r="Y189" s="20" t="str">
        <x:v>PMID 34804370; PMID34804370</x:v>
      </x:c>
      <x:c r="Z189" s="20" t="str">
        <x:v>Purified isolated compound: Tanshinone IIA</x:v>
      </x:c>
      <x:c r="AA189" s="20" t="str">
        <x:v>Row-level annotation; deduplicate by PMID for final reference-level counts</x:v>
      </x:c>
    </x:row>
    <x:row r="190">
      <x:c r="A190" s="20" t="str">
        <x:v>Tanshinone IIA</x:v>
      </x:c>
      <x:c r="B190" s="20" t="str">
        <x:v>Diterpenoid quinones</x:v>
      </x:c>
      <x:c r="C190" s="20" t="str">
        <x:v>丹参</x:v>
      </x:c>
      <x:c r="D190" s="20" t="str">
        <x:v>1. 体内模型：小鼠原位结肠癌模型
2. 体外模型：药物释放实验：在模拟胃液（SGF）和模拟肠液（SIF）中测定释放行为</x:v>
      </x:c>
      <x:c r="E190" s="20" t="str">
        <x:v>In vitro + in vivo</x:v>
      </x:c>
      <x:c r="F190" s="20" t="str">
        <x:v>20.0%; 34.6%</x:v>
      </x:c>
      <x:c r="G190" s="20" t="str">
        <x:v>递送靶向性</x:v>
      </x:c>
      <x:c r="H190" s="20" t="str">
        <x:v>1. 显著降低肿瘤体积（相比对照组减少 20.0%）；
2. 显著降低肿瘤重量（相比对照组减少 34.6%）；
3. 组织学分析显示该系统显著增强了对结肠癌细胞的治疗效果。</x:v>
      </x:c>
      <x:c r="I190" s="20" t="str">
        <x:v>not captured</x:v>
      </x:c>
      <x:c r="J190" s="20" t="str">
        <x:v>not reported</x:v>
      </x:c>
      <x:c r="K190" s="20" t="str">
        <x:v>not reported</x:v>
      </x:c>
      <x:c r="L190" s="20" t="str">
        <x:v>Level 1: animal-validated mechanistic evidence</x:v>
      </x:c>
      <x:c r="M190" s="20" t="str">
        <x:v>Wnt/beta-catenin/stemness</x:v>
      </x:c>
      <x:c r="N190" s="20" t="str">
        <x:v>39914966</x:v>
      </x:c>
      <x:c r="O190" s="20" t="str">
        <x:v>PMID39914966</x:v>
      </x:c>
      <x:c r="P190" s="20" t="str">
        <x:v>Tanshinone IIA\189-39914966-tanshinone iia cyclodextrin encaps source carbohydr polym so 2025.pdf</x:v>
      </x:c>
      <x:c r="Q190" s="20" t="str">
        <x:v>Tanshinone IIA@beta-cyclodextrin encapsulated with Eucommia ulmoides rubber/acetylated starch film as novel oral delivery system for therapy of orthotopic colon cancer.</x:v>
      </x:c>
      <x:c r="R190" s="20" t="str">
        <x:v>Included</x:v>
      </x:c>
      <x:c r="S190" s="20" t="str">
        <x:v>2025</x:v>
      </x:c>
      <x:c r="T190" s="20" t="str">
        <x:v>2025/04/01</x:v>
      </x:c>
      <x:c r="U190" s="20" t="str">
        <x:v>Tanshinone IIA</x:v>
      </x:c>
      <x:c r="V190" s="20" t="str">
        <x:v>丹参</x:v>
      </x:c>
      <x:c r="W190" s="20" t="str">
        <x:v>Yes—directly traceable in supplied records</x:v>
      </x:c>
      <x:c r="X190" s="20" t="str">
        <x:v>Constituent of Danshen (Salvia miltiorrhiza)</x:v>
      </x:c>
      <x:c r="Y190" s="20" t="str">
        <x:v>PMID 39914966; PMID39914966</x:v>
      </x:c>
      <x:c r="Z190" s="20" t="str">
        <x:v>Formulation/nanodelivery contextual evidence</x:v>
      </x:c>
      <x:c r="AA190" s="20" t="str">
        <x:v>Row-level annotation; deduplicate by PMID for final reference-level counts</x:v>
      </x:c>
    </x:row>
    <x:row r="191">
      <x:c r="A191" s="20" t="str">
        <x:v>Jaranol</x:v>
      </x:c>
      <x:c r="B191" s="20" t="str">
        <x:v>Flavonoids</x:v>
      </x:c>
      <x:c r="C191" s="20" t="str">
        <x:v>黄芪</x:v>
      </x:c>
      <x:c r="D191" s="20" t="str">
        <x:v>转移性结肠癌小鼠模型 Western blot</x:v>
      </x:c>
      <x:c r="E191" s="20" t="str">
        <x:v>In vivo</x:v>
      </x:c>
      <x:c r="F191" s="20" t="str">
        <x:v>not captured in source extraction</x:v>
      </x:c>
      <x:c r="G191" s="20" t="str">
        <x:v>DBD 通过上调 Bax、Caspase3 和 Cleaved caspase3 的表达以及下调 Bcl2 的表达来抑制 MCC</x:v>
      </x:c>
      <x:c r="H191" s="20" t="str">
        <x:v>not reported</x:v>
      </x:c>
      <x:c r="I191" s="20" t="str">
        <x:v>yes</x:v>
      </x:c>
      <x:c r="J191" s="20" t="str">
        <x:v>not reported</x:v>
      </x:c>
      <x:c r="K191" s="20" t="str">
        <x:v>not reported</x:v>
      </x:c>
      <x:c r="L191" s="20" t="str">
        <x:v>Contextual mixture/formulation evidence</x:v>
      </x:c>
      <x:c r="M191" s="20" t="str">
        <x:v>Apoptosis/cell cycle; EMT/ECM/metastasis</x:v>
      </x:c>
      <x:c r="N191" s="20" t="str">
        <x:v>33658761</x:v>
      </x:c>
      <x:c r="O191" s="20" t="str">
        <x:v>PMID33658761</x:v>
      </x:c>
      <x:c r="P191" s="20" t="str">
        <x:v>Formononetin\106-33658761-Danggui Buxue Decoction in the Treat Source Drug Des Devel Ther SO 2021 15 705 720.pdf</x:v>
      </x:c>
      <x:c r="Q191" s="20" t="str">
        <x:v>Danggui Buxue Decoction in the Treatment of Metastatic Colon Cancer: Network Pharmacology Analysis and Experimental Validation.</x:v>
      </x:c>
      <x:c r="R191" s="20" t="str">
        <x:v>Included</x:v>
      </x:c>
      <x:c r="S191" s="20" t="str">
        <x:v>2021</x:v>
      </x:c>
      <x:c r="T191" s="20" t="str">
        <x:v>2021/02/24</x:v>
      </x:c>
      <x:c r="U191" s="20" t="str">
        <x:v>Jaranol</x:v>
      </x:c>
      <x:c r="V191" s="20" t="str">
        <x:v>黄芪</x:v>
      </x:c>
      <x:c r="W191" s="20" t="str">
        <x:v>Potentially traceable—named Chinese medicinal material recorded</x:v>
      </x:c>
      <x:c r="X191" s="20" t="str">
        <x:v>Named medicinal material in source extraction; author verification required</x:v>
      </x:c>
      <x:c r="Y191" s="20" t="str">
        <x:v>PMID 33658761; PMID33658761</x:v>
      </x:c>
      <x:c r="Z191" s="20" t="str">
        <x:v>Extract/formula/decoction contextual evidence</x:v>
      </x:c>
      <x:c r="AA191" s="20" t="str">
        <x:v>Row-level annotation; deduplicate by PMID for final reference-level counts</x:v>
      </x:c>
    </x:row>
    <x:row r="192">
      <x:c r="A192" s="20" t="str">
        <x:v>Pinocembrin</x:v>
      </x:c>
      <x:c r="B192" s="20" t="str">
        <x:v>Flavonoids</x:v>
      </x:c>
      <x:c r="C192" s="20" t="str">
        <x:v>蜂胶和蜂蜜</x:v>
      </x:c>
      <x:c r="D192" s="20" t="str">
        <x:v>not reported</x:v>
      </x:c>
      <x:c r="E192" s="20" t="str">
        <x:v>Not specified</x:v>
      </x:c>
      <x:c r="F192" s="20" t="str">
        <x:v>not captured in source extraction</x:v>
      </x:c>
      <x:c r="G192" s="20" t="str">
        <x:v>not reported</x:v>
      </x:c>
      <x:c r="H192" s="20" t="str">
        <x:v>not reported</x:v>
      </x:c>
      <x:c r="I192" s="20" t="str">
        <x:v>not captured</x:v>
      </x:c>
      <x:c r="J192" s="20" t="str">
        <x:v>not reported</x:v>
      </x:c>
      <x:c r="K192" s="20" t="str">
        <x:v>not reported</x:v>
      </x:c>
      <x:c r="L192" s="20" t="str">
        <x:v>Excluded: insufficient extractable evidence</x:v>
      </x:c>
      <x:c r="M192" s="20" t="str">
        <x:v>not assigned</x:v>
      </x:c>
      <x:c r="N192" s="20" t="str">
        <x:v>37049455</x:v>
      </x:c>
      <x:c r="O192" s="20" t="str">
        <x:v>PMID37049455</x:v>
      </x:c>
      <x:c r="P192" s="20" t="str">
        <x:v>Luteolin\19-37049455-bee products and colorectal cancer a.pdf</x:v>
      </x:c>
      <x:c r="Q192" s="20" t="str">
        <x:v>Bee Products and Colorectal Cancer-Active Components and Mechanism of Action.</x:v>
      </x:c>
      <x:c r="R192" s="20" t="str">
        <x:v>Excluded: insufficient extractable evidence</x:v>
      </x:c>
      <x:c r="S192" s="20" t="str">
        <x:v>2023</x:v>
      </x:c>
      <x:c r="T192" s="20" t="str">
        <x:v>2023/03/27</x:v>
      </x:c>
      <x:c r="U192" s="20" t="str">
        <x:v>Pinocembrin</x:v>
      </x:c>
      <x:c r="V192" s="20" t="str">
        <x:v>蜂胶和蜂蜜</x:v>
      </x:c>
      <x:c r="W192" s="20" t="str">
        <x:v>Not established from supplied source field</x:v>
      </x:c>
      <x:c r="X192" s="20" t="str">
        <x:v>Generic botanical, dietary, computational, or unspecified association</x:v>
      </x:c>
      <x:c r="Y192" s="20" t="str">
        <x:v>PMID 37049455; PMID37049455</x:v>
      </x:c>
      <x:c r="Z192" s="20" t="str">
        <x:v>Not assessed for final attribution (excluded record)</x:v>
      </x:c>
      <x:c r="AA192" s="20" t="str">
        <x:v>Row-level annotation; deduplicate by PMID for final reference-level counts</x:v>
      </x:c>
    </x:row>
    <x:row r="193">
      <x:c r="A193" s="20" t="str">
        <x:v>Pinocembrin</x:v>
      </x:c>
      <x:c r="B193" s="20" t="str">
        <x:v>Flavonoids</x:v>
      </x:c>
      <x:c r="C193" s="20" t="str">
        <x:v>天然黄酮类化合物</x:v>
      </x:c>
      <x:c r="D193" s="20" t="str">
        <x:v>人结直肠癌细胞系 HT29 和 HCT116（体外模型）</x:v>
      </x:c>
      <x:c r="E193" s="20" t="str">
        <x:v>In vitro</x:v>
      </x:c>
      <x:c r="F193" s="20" t="str">
        <x:v>not captured in source extraction</x:v>
      </x:c>
      <x:c r="G193" s="20" t="str">
        <x:v>PINO → ↑LACTB → ↑E-cadherin, ↓N-cadherin, ↓MMP-2 → 抑制 EMT、迁移、侵袭、增殖</x:v>
      </x:c>
      <x:c r="H193" s="20" t="str">
        <x:v>抑制增殖、迁移、侵袭及上皮-间质转化（EMT）</x:v>
      </x:c>
      <x:c r="I193" s="20" t="str">
        <x:v>not captured</x:v>
      </x:c>
      <x:c r="J193" s="20" t="str">
        <x:v>not reported</x:v>
      </x:c>
      <x:c r="K193" s="20" t="str">
        <x:v>not reported</x:v>
      </x:c>
      <x:c r="L193" s="20" t="str">
        <x:v>Level 3: cell-based mechanistic evidence</x:v>
      </x:c>
      <x:c r="M193" s="20" t="str">
        <x:v>EMT/ECM/metastasis</x:v>
      </x:c>
      <x:c r="N193" s="20" t="str">
        <x:v>33395536</x:v>
      </x:c>
      <x:c r="O193" s="20" t="str">
        <x:v>PMID33395536</x:v>
      </x:c>
      <x:c r="P193" s="20" t="str">
        <x:v>Pinocembrin\192-33395536-Pinocembrin Inhibits the Proliferation, Migration, Invasiveness, and Epithelial-Mesenchyma.pdf</x:v>
      </x:c>
      <x:c r="Q193" s="20" t="str">
        <x:v>Pinocembrin Inhibits the Proliferation, Migration, Invasiveness, and Epithelial-Mesenchymal Transition of Colorectal Cancer Cells by Regulating LACTB.</x:v>
      </x:c>
      <x:c r="R193" s="20" t="str">
        <x:v>Included</x:v>
      </x:c>
      <x:c r="S193" s="20" t="str">
        <x:v>2022</x:v>
      </x:c>
      <x:c r="T193" s="20" t="str">
        <x:v>2022/09/01</x:v>
      </x:c>
      <x:c r="U193" s="20" t="str">
        <x:v>Pinocembrin</x:v>
      </x:c>
      <x:c r="V193" s="20" t="str">
        <x:v>天然黄酮类化合物</x:v>
      </x:c>
      <x:c r="W193" s="20" t="str">
        <x:v>Not established from supplied source field</x:v>
      </x:c>
      <x:c r="X193" s="20" t="str">
        <x:v>Generic botanical, dietary, computational, or unspecified association</x:v>
      </x:c>
      <x:c r="Y193" s="20" t="str">
        <x:v>PMID 33395536; PMID33395536</x:v>
      </x:c>
      <x:c r="Z193" s="20" t="str">
        <x:v>Purified isolated compound: Pinocembrin</x:v>
      </x:c>
      <x:c r="AA193" s="20" t="str">
        <x:v>Row-level annotation; deduplicate by PMID for final reference-level counts</x:v>
      </x:c>
    </x:row>
    <x:row r="194">
      <x:c r="A194" s="20" t="str">
        <x:v>Pinocembrin</x:v>
      </x:c>
      <x:c r="B194" s="20" t="str">
        <x:v>Flavonoids</x:v>
      </x:c>
      <x:c r="C194" s="20" t="str">
        <x:v>中药复方 二藤散结 胶囊（ETSJC）</x:v>
      </x:c>
      <x:c r="D194" s="20" t="str">
        <x:v>参与网络分析和分子对接预测，动物实验</x:v>
      </x:c>
      <x:c r="E194" s="20" t="str">
        <x:v>In vivo</x:v>
      </x:c>
      <x:c r="F194" s="20" t="str">
        <x:v>not captured in source extraction</x:v>
      </x:c>
      <x:c r="G194" s="20" t="str">
        <x:v>PI3K/Akt 信号通路</x:v>
      </x:c>
      <x:c r="H194" s="20" t="str">
        <x:v>抑制增殖、促进凋亡、调控细胞迁移与蛋白磷酸化</x:v>
      </x:c>
      <x:c r="I194" s="20" t="str">
        <x:v>yes</x:v>
      </x:c>
      <x:c r="J194" s="20" t="str">
        <x:v>not reported</x:v>
      </x:c>
      <x:c r="K194" s="20" t="str">
        <x:v>not reported</x:v>
      </x:c>
      <x:c r="L194" s="20" t="str">
        <x:v>Level 2: in vivo evidence</x:v>
      </x:c>
      <x:c r="M194" s="20" t="str">
        <x:v>Apoptosis/cell cycle; PI3K/Akt/mTOR/metabolism; NF-kB/STAT3/inflammation; MAPK/JNK/ERK; EMT/ECM/metastasis</x:v>
      </x:c>
      <x:c r="N194" s="20" t="str">
        <x:v>38428659</x:v>
      </x:c>
      <x:c r="O194" s="20" t="str">
        <x:v>PMID38428659</x:v>
      </x:c>
      <x:c r="P194" s="20" t="str">
        <x:v>Kaempferol\94-38428659-exploring the mechanism of erteng sa source j ethnopharmacol so 2024.pdf</x:v>
      </x:c>
      <x:c r="Q194" s="20" t="str">
        <x:v>Exploring the mechanism of Erteng-Sanjie capsule in treating gastric and colorectal cancers via network pharmacology and in-vivo validation.</x:v>
      </x:c>
      <x:c r="R194" s="20" t="str">
        <x:v>Included</x:v>
      </x:c>
      <x:c r="S194" s="20" t="str">
        <x:v>2024</x:v>
      </x:c>
      <x:c r="T194" s="20" t="str">
        <x:v>2024/06/12</x:v>
      </x:c>
      <x:c r="U194" s="20" t="str">
        <x:v>Pinocembrin</x:v>
      </x:c>
      <x:c r="V194" s="20" t="str">
        <x:v>中药复方 二藤散结 胶囊（ETSJC）</x:v>
      </x:c>
      <x:c r="W194" s="20" t="str">
        <x:v>Contextual association only</x:v>
      </x:c>
      <x:c r="X194" s="20" t="str">
        <x:v>Compound annotated within a TCM formula or preparation</x:v>
      </x:c>
      <x:c r="Y194" s="20" t="str">
        <x:v>PMID 38428659; PMID38428659</x:v>
      </x:c>
      <x:c r="Z194" s="20" t="str">
        <x:v>Extract/formula/decoction contextual evidence</x:v>
      </x:c>
      <x:c r="AA194" s="20" t="str">
        <x:v>Row-level annotation; deduplicate by PMID for final reference-level counts</x:v>
      </x:c>
    </x:row>
    <x:row r="195">
      <x:c r="A195" s="20" t="str">
        <x:v>Pinocembrin</x:v>
      </x:c>
      <x:c r="B195" s="20" t="str">
        <x:v>Flavonoids</x:v>
      </x:c>
      <x:c r="C195" s="20" t="str">
        <x:v>蜂胶</x:v>
      </x:c>
      <x:c r="D195" s="20" t="str">
        <x:v>多种人癌细胞系，重点为结直肠癌细胞</x:v>
      </x:c>
      <x:c r="E195" s="20" t="str">
        <x:v>In vitro</x:v>
      </x:c>
      <x:c r="F195" s="20" t="str">
        <x:v>not captured in source extraction</x:v>
      </x:c>
      <x:c r="G195" s="20" t="str">
        <x:v>DNA损伤（ɣH2AX）触发</x:v>
      </x:c>
      <x:c r="H195" s="20" t="str">
        <x:v>合成油酰基杂合物 → 提高生物利用度 → 诱导DNA损伤 → 激活凋亡 → 抑制癌细胞</x:v>
      </x:c>
      <x:c r="I195" s="20" t="str">
        <x:v>not captured</x:v>
      </x:c>
      <x:c r="J195" s="20" t="str">
        <x:v>not reported</x:v>
      </x:c>
      <x:c r="K195" s="20" t="str">
        <x:v>not reported</x:v>
      </x:c>
      <x:c r="L195" s="20" t="str">
        <x:v>Level 3: cell-based mechanistic evidence</x:v>
      </x:c>
      <x:c r="M195" s="20" t="str">
        <x:v>Apoptosis/cell cycle</x:v>
      </x:c>
      <x:c r="N195" s="20" t="str">
        <x:v>33153029</x:v>
      </x:c>
      <x:c r="O195" s="20" t="str">
        <x:v>PMID33153029</x:v>
      </x:c>
      <x:c r="P195" s="20" t="str">
        <x:v>Pinocembrin\194-33153029-New Oleoyl Hybrids of Natural Antiox Source Antioxidants Basel SO 2020.pdf</x:v>
      </x:c>
      <x:c r="Q195" s="20" t="str">
        <x:v>New Oleoyl Hybrids of Natural Antioxidants: Synthesis and In Vitro Evaluation as Inducers of Apoptosis in Colorectal Cancer Cells.</x:v>
      </x:c>
      <x:c r="R195" s="20" t="str">
        <x:v>Included</x:v>
      </x:c>
      <x:c r="S195" s="20" t="str">
        <x:v>2020</x:v>
      </x:c>
      <x:c r="T195" s="20" t="str">
        <x:v>2020/11/03</x:v>
      </x:c>
      <x:c r="U195" s="20" t="str">
        <x:v>Pinocembrin</x:v>
      </x:c>
      <x:c r="V195" s="20" t="str">
        <x:v>蜂胶</x:v>
      </x:c>
      <x:c r="W195" s="20" t="str">
        <x:v>Not established from supplied source field</x:v>
      </x:c>
      <x:c r="X195" s="20" t="str">
        <x:v>Generic botanical, dietary, computational, or unspecified association</x:v>
      </x:c>
      <x:c r="Y195" s="20" t="str">
        <x:v>PMID 33153029; PMID33153029</x:v>
      </x:c>
      <x:c r="Z195" s="20" t="str">
        <x:v>Derivative/metabolite contextual evidence</x:v>
      </x:c>
      <x:c r="AA195" s="20" t="str">
        <x:v>Row-level annotation; deduplicate by PMID for final reference-level counts</x:v>
      </x:c>
    </x:row>
    <x:row r="196">
      <x:c r="A196" s="20" t="str">
        <x:v>Pinocembrin</x:v>
      </x:c>
      <x:c r="B196" s="20" t="str">
        <x:v>Flavonoids</x:v>
      </x:c>
      <x:c r="C196" s="20" t="str">
        <x:v>Manuka蜂蜜</x:v>
      </x:c>
      <x:c r="D196" s="20" t="str">
        <x:v>富含结肠癌干细胞（CSCs）的结肠类球体</x:v>
      </x:c>
      <x:c r="E196" s="20" t="str">
        <x:v>In vitro</x:v>
      </x:c>
      <x:c r="F196" s="20" t="str">
        <x:v>not captured in source extraction</x:v>
      </x:c>
      <x:c r="G196" s="20" t="str">
        <x:v>Wnt/β-catenin 通路、Hedgehog 通路、Notch 通路</x:v>
      </x:c>
      <x:c r="H196" s="20" t="str">
        <x:v>增强 5-氟尿嘧啶（5-Fluorouracil）的化疗敏感性（化学增敏作用），抑制癌干细胞的自我更新能力</x:v>
      </x:c>
      <x:c r="I196" s="20" t="str">
        <x:v>not captured</x:v>
      </x:c>
      <x:c r="J196" s="20" t="str">
        <x:v>not reported</x:v>
      </x:c>
      <x:c r="K196" s="20" t="str">
        <x:v>not reported</x:v>
      </x:c>
      <x:c r="L196" s="20" t="str">
        <x:v>Level 3: cell-based mechanistic evidence</x:v>
      </x:c>
      <x:c r="M196" s="20" t="str">
        <x:v>Wnt/beta-catenin/stemness</x:v>
      </x:c>
      <x:c r="N196" s="20" t="str">
        <x:v>37418807</x:v>
      </x:c>
      <x:c r="O196" s="20" t="str">
        <x:v>PMID37418807</x:v>
      </x:c>
      <x:c r="P196" s="20" t="str">
        <x:v>Pinocembrin\195-37418807-can the phenolic compounds of manuka source food chem so 2023.pdf</x:v>
      </x:c>
      <x:c r="Q196" s="20" t="str">
        <x:v>Can the phenolic compounds of Manuka honey chemosensitize colon cancer stem cells? A deep insight into the effect on chemoresistance and self-renewal.</x:v>
      </x:c>
      <x:c r="R196" s="20" t="str">
        <x:v>Included</x:v>
      </x:c>
      <x:c r="S196" s="20" t="str">
        <x:v>2023</x:v>
      </x:c>
      <x:c r="T196" s="20" t="str">
        <x:v>2023/11/30</x:v>
      </x:c>
      <x:c r="U196" s="20" t="str">
        <x:v>Pinocembrin</x:v>
      </x:c>
      <x:c r="V196" s="20" t="str">
        <x:v>Manuka蜂蜜</x:v>
      </x:c>
      <x:c r="W196" s="20" t="str">
        <x:v>Not established from supplied source field</x:v>
      </x:c>
      <x:c r="X196" s="20" t="str">
        <x:v>Generic botanical, dietary, computational, or unspecified association</x:v>
      </x:c>
      <x:c r="Y196" s="20" t="str">
        <x:v>PMID 37418807; PMID37418807</x:v>
      </x:c>
      <x:c r="Z196" s="20" t="str">
        <x:v>Extract/formula/decoction contextual evidence</x:v>
      </x:c>
      <x:c r="AA196" s="20" t="str">
        <x:v>Row-level annotation; deduplicate by PMID for final reference-level counts</x:v>
      </x:c>
    </x:row>
    <x:row r="197">
      <x:c r="A197" s="20" t="str">
        <x:v>Naamidine J</x:v>
      </x:c>
      <x:c r="B197" s="20" t="str">
        <x:v>Alkaloids</x:v>
      </x:c>
      <x:c r="C197" s="20" t="str">
        <x:v>1-甲基副尿酸（1-methylparabanic acid, 8） 和 化合物 7，经硅烷化后在甲苯中回流反应制得</x:v>
      </x:c>
      <x:c r="D197" s="20" t="str">
        <x:v>not reported</x:v>
      </x:c>
      <x:c r="E197" s="20" t="str">
        <x:v>Not specified</x:v>
      </x:c>
      <x:c r="F197" s="20" t="str">
        <x:v>not captured in source extraction</x:v>
      </x:c>
      <x:c r="G197" s="20" t="str">
        <x:v>not reported</x:v>
      </x:c>
      <x:c r="H197" s="20" t="str">
        <x:v>not reported</x:v>
      </x:c>
      <x:c r="I197" s="20" t="str">
        <x:v>not captured</x:v>
      </x:c>
      <x:c r="J197" s="20" t="str">
        <x:v>not reported</x:v>
      </x:c>
      <x:c r="K197" s="20" t="str">
        <x:v>not reported</x:v>
      </x:c>
      <x:c r="L197" s="20" t="str">
        <x:v>Excluded: insufficient extractable evidence</x:v>
      </x:c>
      <x:c r="M197" s="20" t="str">
        <x:v>not assigned</x:v>
      </x:c>
      <x:c r="N197" s="20" t="str">
        <x:v>37040446</x:v>
      </x:c>
      <x:c r="O197" s="20" t="str">
        <x:v>PMID37040446</x:v>
      </x:c>
      <x:c r="P197" s="20" t="str">
        <x:v>Naamidine J\196-37040446-Bioactivity Driven Synthesis of the Source J Med Chem SO 2023.pdf</x:v>
      </x:c>
      <x:c r="Q197" s="20" t="str">
        <x:v>Bioactivity-Driven Synthesis of the Marine Natural Product Naamidine J and Its Derivatives as Potential Tumor Immunological Agents by Inhibiting Programmed Death-Ligand 1.</x:v>
      </x:c>
      <x:c r="R197" s="20" t="str">
        <x:v>Excluded: no CRC-specific model or outcome extracted</x:v>
      </x:c>
      <x:c r="S197" s="20" t="str">
        <x:v>2023</x:v>
      </x:c>
      <x:c r="T197" s="20" t="str">
        <x:v>2023/04/27</x:v>
      </x:c>
      <x:c r="U197" s="20" t="str">
        <x:v>Naamidine J</x:v>
      </x:c>
      <x:c r="V197" s="20" t="str">
        <x:v>1-甲基副尿酸（1-methylparabanic acid, 8） 和 化合物 7，经硅烷化后在甲苯中回流反应制得</x:v>
      </x:c>
      <x:c r="W197" s="20" t="str">
        <x:v>Not established from supplied source field</x:v>
      </x:c>
      <x:c r="X197" s="20" t="str">
        <x:v>Generic botanical, dietary, computational, or unspecified association</x:v>
      </x:c>
      <x:c r="Y197" s="20" t="str">
        <x:v>PMID 37040446; PMID37040446</x:v>
      </x:c>
      <x:c r="Z197" s="20" t="str">
        <x:v>Not assessed for final attribution (excluded record)</x:v>
      </x:c>
      <x:c r="AA197" s="20" t="str">
        <x:v>Row-level annotation; deduplicate by PMID for final reference-level counts</x:v>
      </x:c>
    </x:row>
    <x:row r="198">
      <x:c r="A198" s="20" t="str">
        <x:v>Pachymic acid</x:v>
      </x:c>
      <x:c r="B198" s="20" t="str">
        <x:v>Triterpenoids</x:v>
      </x:c>
      <x:c r="C198" s="20" t="str">
        <x:v>蜜蜂中分离出来的Aspergillus niger AW17</x:v>
      </x:c>
      <x:c r="D198" s="20" t="str">
        <x:v>结直肠 （Caco-2）、肝脏 （HepG2）、乳腺癌 （MCF-7） 和肺癌细胞系 （A549） 癌细胞系</x:v>
      </x:c>
      <x:c r="E198" s="20" t="str">
        <x:v>In vitro</x:v>
      </x:c>
      <x:c r="F198" s="20" t="str">
        <x:v>not captured in source extraction</x:v>
      </x:c>
      <x:c r="G198" s="20" t="str">
        <x:v>not reported</x:v>
      </x:c>
      <x:c r="H198" s="20" t="str">
        <x:v>Caco-2 表现出G1 停滞，早期细胞凋亡和大量坏死</x:v>
      </x:c>
      <x:c r="I198" s="20" t="str">
        <x:v>not captured</x:v>
      </x:c>
      <x:c r="J198" s="20" t="str">
        <x:v>not reported</x:v>
      </x:c>
      <x:c r="K198" s="20" t="str">
        <x:v>not reported</x:v>
      </x:c>
      <x:c r="L198" s="20" t="str">
        <x:v>Level 3: cell-based mechanistic evidence</x:v>
      </x:c>
      <x:c r="M198" s="20" t="str">
        <x:v>Apoptosis/cell cycle</x:v>
      </x:c>
      <x:c r="N198" s="20" t="str">
        <x:v>40940406</x:v>
      </x:c>
      <x:c r="O198" s="20" t="str">
        <x:v>PMID40940406</x:v>
      </x:c>
      <x:c r="P198" s="20" t="str">
        <x:v>Pachymic acid\197-40940406-Honeybee associated Aspergillus nige Source Sci Rep SO 2025.pdf</x:v>
      </x:c>
      <x:c r="Q198" s="20" t="str">
        <x:v>Honeybee associated Aspergillus niger AW17 as a source of selective anticancer compounds with cytotoxicity evaluation in human cancer cell lines.</x:v>
      </x:c>
      <x:c r="R198" s="20" t="str">
        <x:v>Included</x:v>
      </x:c>
      <x:c r="S198" s="20" t="str">
        <x:v>2025</x:v>
      </x:c>
      <x:c r="T198" s="20" t="str">
        <x:v>2025/09/12</x:v>
      </x:c>
      <x:c r="U198" s="20" t="str">
        <x:v>Pachymic acid</x:v>
      </x:c>
      <x:c r="V198" s="20" t="str">
        <x:v>蜜蜂中分离出来的Aspergillus niger AW17</x:v>
      </x:c>
      <x:c r="W198" s="20" t="str">
        <x:v>Not established from supplied source field</x:v>
      </x:c>
      <x:c r="X198" s="20" t="str">
        <x:v>Generic botanical, dietary, computational, or unspecified association</x:v>
      </x:c>
      <x:c r="Y198" s="20" t="str">
        <x:v>PMID 40940406; PMID40940406</x:v>
      </x:c>
      <x:c r="Z198" s="20" t="str">
        <x:v>Extract/formula/decoction contextual evidence</x:v>
      </x:c>
      <x:c r="AA198" s="20" t="str">
        <x:v>Row-level annotation; deduplicate by PMID for final reference-level counts</x:v>
      </x:c>
    </x:row>
    <x:row r="199">
      <x:c r="A199" s="20" t="str">
        <x:v>isorhamnetin</x:v>
      </x:c>
      <x:c r="B199" s="20" t="str">
        <x:v>Flavonoids</x:v>
      </x:c>
      <x:c r="C199" s="20" t="str">
        <x:v>葱属和芸苔属蔬菜和水果中、许多食用植物</x:v>
      </x:c>
      <x:c r="D199" s="20" t="str">
        <x:v>（综述文章）体外、动物实验、流行病学研究</x:v>
      </x:c>
      <x:c r="E199" s="20" t="str">
        <x:v>In vitro + in vivo</x:v>
      </x:c>
      <x:c r="F199" s="20" t="str">
        <x:v>not captured in source extraction</x:v>
      </x:c>
      <x:c r="G199" s="20" t="str">
        <x:v>PI3K-Akt-mTOR 通路</x:v>
      </x:c>
      <x:c r="H199" s="20" t="str">
        <x:v>影响人结肠癌 （HCT-116） 细胞的细胞周期、细胞死亡和增殖</x:v>
      </x:c>
      <x:c r="I199" s="20" t="str">
        <x:v>not captured</x:v>
      </x:c>
      <x:c r="J199" s="20" t="str">
        <x:v>not reported</x:v>
      </x:c>
      <x:c r="K199" s="20" t="str">
        <x:v>not reported</x:v>
      </x:c>
      <x:c r="L199" s="20" t="str">
        <x:v>Level 1: animal-validated mechanistic evidence</x:v>
      </x:c>
      <x:c r="M199" s="20" t="str">
        <x:v>Apoptosis/cell cycle; PI3K/Akt/mTOR/metabolism</x:v>
      </x:c>
      <x:c r="N199" s="20" t="str">
        <x:v>38948535</x:v>
      </x:c>
      <x:c r="O199" s="20" t="str">
        <x:v>PMID38948535</x:v>
      </x:c>
      <x:c r="P199" s="20" t="str">
        <x:v>isorhamnetin\198-38948535-Targeting colorectal cancer using di Source Cancer Innov SO 2023.pdf</x:v>
      </x:c>
      <x:c r="Q199" s="20" t="str">
        <x:v>Targeting colorectal cancer using dietary flavonols.</x:v>
      </x:c>
      <x:c r="R199" s="20" t="str">
        <x:v>Included</x:v>
      </x:c>
      <x:c r="S199" s="20" t="str">
        <x:v>2023</x:v>
      </x:c>
      <x:c r="T199" s="20" t="str">
        <x:v>2023/11/28</x:v>
      </x:c>
      <x:c r="U199" s="20" t="str">
        <x:v>isorhamnetin</x:v>
      </x:c>
      <x:c r="V199" s="20" t="str">
        <x:v>葱属和芸苔属蔬菜和水果中、许多食用植物</x:v>
      </x:c>
      <x:c r="W199" s="20" t="str">
        <x:v>Not established from supplied source field</x:v>
      </x:c>
      <x:c r="X199" s="20" t="str">
        <x:v>Generic botanical, dietary, computational, or unspecified association</x:v>
      </x:c>
      <x:c r="Y199" s="20" t="str">
        <x:v>PMID 38948535; PMID38948535</x:v>
      </x:c>
      <x:c r="Z199" s="20" t="str">
        <x:v>Extract/formula/decoction contextual evidence</x:v>
      </x:c>
      <x:c r="AA199" s="20" t="str">
        <x:v>Row-level annotation; deduplicate by PMID for final reference-level counts</x:v>
      </x:c>
    </x:row>
    <x:row r="200">
      <x:c r="A200" s="20" t="str">
        <x:v>isorhamnetin</x:v>
      </x:c>
      <x:c r="B200" s="20" t="str">
        <x:v>Flavonoids</x:v>
      </x:c>
      <x:c r="C200" s="20" t="str">
        <x:v>许多水果和蔬菜</x:v>
      </x:c>
      <x:c r="D200" s="20" t="str">
        <x:v>HT-29人结肠癌细胞，体外培养，zymosan诱导炎症</x:v>
      </x:c>
      <x:c r="E200" s="20" t="str">
        <x:v>In vitro</x:v>
      </x:c>
      <x:c r="F200" s="20" t="str">
        <x:v>not captured in source extraction</x:v>
      </x:c>
      <x:c r="G200" s="20" t="str">
        <x:v>抗增殖、促氧化、抗炎</x:v>
      </x:c>
      <x:c r="H200" s="20" t="str">
        <x:v>not reported</x:v>
      </x:c>
      <x:c r="I200" s="20" t="str">
        <x:v>not captured</x:v>
      </x:c>
      <x:c r="J200" s="20" t="str">
        <x:v>not reported</x:v>
      </x:c>
      <x:c r="K200" s="20" t="str">
        <x:v>not reported</x:v>
      </x:c>
      <x:c r="L200" s="20" t="str">
        <x:v>Level 3: cell-based mechanistic evidence</x:v>
      </x:c>
      <x:c r="M200" s="20" t="str">
        <x:v>NF-kB/STAT3/inflammation; ROS/ferroptosis</x:v>
      </x:c>
      <x:c r="N200" s="20" t="str">
        <x:v>37763324</x:v>
      </x:c>
      <x:c r="O200" s="20" t="str">
        <x:v>PMID37763324</x:v>
      </x:c>
      <x:c r="P200" s="20" t="str">
        <x:v>isorhamnetin\199-37763324-Isorhamnetin Influences the Viabilit.pdf</x:v>
      </x:c>
      <x:c r="Q200" s="20" t="str">
        <x:v>Isorhamnetin Influences the Viability, Superoxide Production and Interleukin-8 Biosynthesis of Human Colorectal Adenocarcinoma HT-29 Cells In Vitro.</x:v>
      </x:c>
      <x:c r="R200" s="20" t="str">
        <x:v>Included</x:v>
      </x:c>
      <x:c r="S200" s="20" t="str">
        <x:v>2023</x:v>
      </x:c>
      <x:c r="T200" s="20" t="str">
        <x:v>2023/09/15</x:v>
      </x:c>
      <x:c r="U200" s="20" t="str">
        <x:v>isorhamnetin</x:v>
      </x:c>
      <x:c r="V200" s="20" t="str">
        <x:v>许多水果和蔬菜</x:v>
      </x:c>
      <x:c r="W200" s="20" t="str">
        <x:v>Not established from supplied source field</x:v>
      </x:c>
      <x:c r="X200" s="20" t="str">
        <x:v>Generic botanical, dietary, computational, or unspecified association</x:v>
      </x:c>
      <x:c r="Y200" s="20" t="str">
        <x:v>PMID 37763324; PMID37763324</x:v>
      </x:c>
      <x:c r="Z200" s="20" t="str">
        <x:v>Purified isolated compound: isorhamnetin</x:v>
      </x:c>
      <x:c r="AA200" s="20" t="str">
        <x:v>Row-level annotation; deduplicate by PMID for final reference-level counts</x:v>
      </x:c>
    </x:row>
    <x:row r="201">
      <x:c r="A201" s="20" t="str">
        <x:v>isorhamnetin</x:v>
      </x:c>
      <x:c r="B201" s="20" t="str">
        <x:v>Flavonoids</x:v>
      </x:c>
      <x:c r="C201" s="20" t="str">
        <x:v>Dodonaea viscosa Jacq. 的70%乙醇水提取物</x:v>
      </x:c>
      <x:c r="D201" s="20" t="str">
        <x:v>体外：SW480 和 SW620 结直肠癌细胞系</x:v>
      </x:c>
      <x:c r="E201" s="20" t="str">
        <x:v>In vitro</x:v>
      </x:c>
      <x:c r="F201" s="20" t="str">
        <x:v>70%</x:v>
      </x:c>
      <x:c r="G201" s="20" t="str">
        <x:v>p53 和 caspase-3 激活</x:v>
      </x:c>
      <x:c r="H201" s="20" t="str">
        <x:v>细胞毒性、抗增殖、线粒体损伤、Sub G0/G1 峰、凋亡诱导</x:v>
      </x:c>
      <x:c r="I201" s="20" t="str">
        <x:v>not captured</x:v>
      </x:c>
      <x:c r="J201" s="20" t="str">
        <x:v>not reported</x:v>
      </x:c>
      <x:c r="K201" s="20" t="str">
        <x:v>not reported</x:v>
      </x:c>
      <x:c r="L201" s="20" t="str">
        <x:v>Level 3: cell-based mechanistic evidence</x:v>
      </x:c>
      <x:c r="M201" s="20" t="str">
        <x:v>Apoptosis/cell cycle</x:v>
      </x:c>
      <x:c r="N201" s="20" t="str">
        <x:v>37426815</x:v>
      </x:c>
      <x:c r="O201" s="20" t="str">
        <x:v>not available</x:v>
      </x:c>
      <x:c r="P201" s="20" t="str">
        <x:v>isorhamnetin\200-37426815-dodonaea viscosa jacq induces cytotpharmacol.pdf</x:v>
      </x:c>
      <x:c r="Q201" s="20" t="str">
        <x:v>not retained - incomplete bibliographic metadata</x:v>
      </x:c>
      <x:c r="R201" s="20" t="str">
        <x:v>Excluded: incomplete bibliographic title requiring verification</x:v>
      </x:c>
      <x:c r="S201" s="20" t="str">
        <x:v>2023</x:v>
      </x:c>
      <x:c r="T201" s="20" t="str">
        <x:v>2023/06/23</x:v>
      </x:c>
      <x:c r="U201" s="20" t="str">
        <x:v>isorhamnetin</x:v>
      </x:c>
      <x:c r="V201" s="20" t="str">
        <x:v>Dodonaea viscosa Jacq. 的70%乙醇水提取物</x:v>
      </x:c>
      <x:c r="W201" s="20" t="str">
        <x:v>Not established from supplied source field</x:v>
      </x:c>
      <x:c r="X201" s="20" t="str">
        <x:v>Generic botanical, dietary, computational, or unspecified association</x:v>
      </x:c>
      <x:c r="Y201" s="20" t="str">
        <x:v>PMID 37426815; not available</x:v>
      </x:c>
      <x:c r="Z201" s="20" t="str">
        <x:v>Not assessed for final attribution (excluded record)</x:v>
      </x:c>
      <x:c r="AA201" s="20" t="str">
        <x:v>Row-level annotation; deduplicate by PMID for final reference-level counts</x:v>
      </x:c>
    </x:row>
    <x:row r="202">
      <x:c r="A202" s="20" t="str">
        <x:v>isorhamnetin</x:v>
      </x:c>
      <x:c r="B202" s="20" t="str">
        <x:v>Flavonoids</x:v>
      </x:c>
      <x:c r="C202" s="20" t="str">
        <x:v>治疗 mCRC 的高频中药复方</x:v>
      </x:c>
      <x:c r="D202" s="20" t="str">
        <x:v>基于临床 RCT 荟萃分析 + 网络药理学预测</x:v>
      </x:c>
      <x:c r="E202" s="20" t="str">
        <x:v>Network/in silico</x:v>
      </x:c>
      <x:c r="F202" s="20" t="str">
        <x:v>not captured in source extraction</x:v>
      </x:c>
      <x:c r="G202" s="20" t="str">
        <x:v>CDKN1A、CDK1、CDK2、E2F1、CDK4、PCNA、RB1、CCNA2、MAPK3、CCND1、CCNB1、JUN、MAPK1、RELA、FOS、MAPK8、STAT3、MAPK14、NR3C1 和 MYC</x:v>
      </x:c>
      <x:c r="H202" s="20" t="str">
        <x:v>可能通过靶向上述枢纽基因的多个生物学过程来抑制 mCRC</x:v>
      </x:c>
      <x:c r="I202" s="20" t="str">
        <x:v>not captured</x:v>
      </x:c>
      <x:c r="J202" s="20" t="str">
        <x:v>not reported</x:v>
      </x:c>
      <x:c r="K202" s="20" t="str">
        <x:v>not reported</x:v>
      </x:c>
      <x:c r="L202" s="20" t="str">
        <x:v>Level 4: in silico-only</x:v>
      </x:c>
      <x:c r="M202" s="20" t="str">
        <x:v>NF-kB/STAT3/inflammation; MAPK/JNK/ERK; EMT/ECM/metastasis</x:v>
      </x:c>
      <x:c r="N202" s="20" t="str">
        <x:v>34781857</x:v>
      </x:c>
      <x:c r="O202" s="20" t="str">
        <x:v>PMID34781857</x:v>
      </x:c>
      <x:c r="P202" s="20" t="str">
        <x:v>isorhamnetin\203-34781857-Network Pharmacology Analysis to Explore the Pharmaco.pdf</x:v>
      </x:c>
      <x:c r="Q202" s="20" t="str">
        <x:v>Network Pharmacology Analysis to Explore the Pharmacological Mechanism of Effective Chinese Medicines in Treating Metastatic Colorectal Cancer using Meta-Analysis Approach.</x:v>
      </x:c>
      <x:c r="R202" s="20" t="str">
        <x:v>Included</x:v>
      </x:c>
      <x:c r="S202" s="20" t="str">
        <x:v>2021</x:v>
      </x:c>
      <x:c r="T202" s="20" t="str">
        <x:v>2021/01/01</x:v>
      </x:c>
      <x:c r="U202" s="20" t="str">
        <x:v>isorhamnetin</x:v>
      </x:c>
      <x:c r="V202" s="20" t="str">
        <x:v>治疗 mCRC 的高频中药复方</x:v>
      </x:c>
      <x:c r="W202" s="20" t="str">
        <x:v>Contextual association only</x:v>
      </x:c>
      <x:c r="X202" s="20" t="str">
        <x:v>Compound annotated within a TCM formula or preparation</x:v>
      </x:c>
      <x:c r="Y202" s="20" t="str">
        <x:v>PMID 34781857; PMID34781857</x:v>
      </x:c>
      <x:c r="Z202" s="20" t="str">
        <x:v>Network pharmacology/in silico evidence</x:v>
      </x:c>
      <x:c r="AA202" s="20" t="str">
        <x:v>Row-level annotation; deduplicate by PMID for final reference-level counts</x:v>
      </x:c>
    </x:row>
    <x:row r="203">
      <x:c r="A203" s="20" t="str">
        <x:v>isorhamnetin</x:v>
      </x:c>
      <x:c r="B203" s="20" t="str">
        <x:v>Flavonoids</x:v>
      </x:c>
      <x:c r="C203" s="20" t="str">
        <x:v>益肺健脾通腑方（YJTF）</x:v>
      </x:c>
      <x:c r="D203" s="20" t="str">
        <x:v>计算模型（网络药理学、分子对接）+ 小鼠肺转移模型</x:v>
      </x:c>
      <x:c r="E203" s="20" t="str">
        <x:v>In vivo</x:v>
      </x:c>
      <x:c r="F203" s="20" t="str">
        <x:v>not captured in source extraction</x:v>
      </x:c>
      <x:c r="G203" s="20" t="str">
        <x:v>抑制肺转移</x:v>
      </x:c>
      <x:c r="H203" s="20" t="str">
        <x:v>not reported</x:v>
      </x:c>
      <x:c r="I203" s="20" t="str">
        <x:v>yes</x:v>
      </x:c>
      <x:c r="J203" s="20" t="str">
        <x:v>not reported</x:v>
      </x:c>
      <x:c r="K203" s="20" t="str">
        <x:v>not reported</x:v>
      </x:c>
      <x:c r="L203" s="20" t="str">
        <x:v>Contextual mixture/formulation evidence</x:v>
      </x:c>
      <x:c r="M203" s="20" t="str">
        <x:v>PI3K/Akt/mTOR/metabolism; EMT/ECM/metastasis</x:v>
      </x:c>
      <x:c r="N203" s="20" t="str">
        <x:v>35942366</x:v>
      </x:c>
      <x:c r="O203" s="20" t="str">
        <x:v>PMID35942366</x:v>
      </x:c>
      <x:c r="P203" s="20" t="str">
        <x:v>isorhamnetin\202-35942366-study on the action mechanism of the source evid based complement alternat med so 2022.pdf</x:v>
      </x:c>
      <x:c r="Q203" s="20" t="str">
        <x:v>Study on the Action Mechanism of the Yifei Jianpi Tongfu Formula in Treatment of Colorectal Cancer Lung Metastasis Based on Network Analysis, Molecular Docking, and Experimental Validation.</x:v>
      </x:c>
      <x:c r="R203" s="20" t="str">
        <x:v>Included</x:v>
      </x:c>
      <x:c r="S203" s="20" t="str">
        <x:v>2022</x:v>
      </x:c>
      <x:c r="T203" s="20" t="str">
        <x:v>2022/07/30</x:v>
      </x:c>
      <x:c r="U203" s="20" t="str">
        <x:v>isorhamnetin</x:v>
      </x:c>
      <x:c r="V203" s="20" t="str">
        <x:v>益肺健脾通腑方（YJTF）</x:v>
      </x:c>
      <x:c r="W203" s="20" t="str">
        <x:v>Contextual association only</x:v>
      </x:c>
      <x:c r="X203" s="20" t="str">
        <x:v>Compound annotated within a TCM formula or preparation</x:v>
      </x:c>
      <x:c r="Y203" s="20" t="str">
        <x:v>PMID 35942366; PMID35942366</x:v>
      </x:c>
      <x:c r="Z203" s="20" t="str">
        <x:v>Extract/formula/decoction contextual evidence</x:v>
      </x:c>
      <x:c r="AA203" s="20" t="str">
        <x:v>Row-level annotation; deduplicate by PMID for final reference-level counts</x:v>
      </x:c>
    </x:row>
    <x:row r="204">
      <x:c r="A204" s="20" t="str">
        <x:v>isorhamnetin</x:v>
      </x:c>
      <x:c r="B204" s="20" t="str">
        <x:v>Flavonoids</x:v>
      </x:c>
      <x:c r="C204" s="20" t="str">
        <x:v>Opuntia ficus-indica 提取物</x:v>
      </x:c>
      <x:c r="D204" s="20" t="str">
        <x:v>体外：HT-29 RFP 细胞；体内：免疫抑制小鼠异种移植模型</x:v>
      </x:c>
      <x:c r="E204" s="20" t="str">
        <x:v>In vitro + in vivo</x:v>
      </x:c>
      <x:c r="F204" s="20" t="str">
        <x:v>not captured in source extraction</x:v>
      </x:c>
      <x:c r="G204" s="20" t="str">
        <x:v>激活内源性凋亡通路</x:v>
      </x:c>
      <x:c r="H204" s="20" t="str">
        <x:v>凋亡诱导、ROS 产生、G0/G1 阻滞、抑瘤、降 MPO 和胆固醇</x:v>
      </x:c>
      <x:c r="I204" s="20" t="str">
        <x:v>not captured</x:v>
      </x:c>
      <x:c r="J204" s="20" t="str">
        <x:v>not reported</x:v>
      </x:c>
      <x:c r="K204" s="20" t="str">
        <x:v>not reported</x:v>
      </x:c>
      <x:c r="L204" s="20" t="str">
        <x:v>Contextual mixture/formulation evidence</x:v>
      </x:c>
      <x:c r="M204" s="20" t="str">
        <x:v>Apoptosis/cell cycle; ROS/ferroptosis; Immune microenvironment</x:v>
      </x:c>
      <x:c r="N204" s="20" t="str">
        <x:v>34786663</x:v>
      </x:c>
      <x:c r="O204" s="20" t="str">
        <x:v>PMID34786663</x:v>
      </x:c>
      <x:c r="P204" s="20" t="str">
        <x:v>isorhamnetin\201-34786663-opuntia ficus indica extract and iso source plant foods hum nutr so 2021 nov 16.pdf</x:v>
      </x:c>
      <x:c r="Q204" s="20" t="str">
        <x:v>Opuntia ficus-indica Extract and Isorhamnetin-3-O-Glucosyl-Rhamnoside Diminish Tumor Growth of Colon Cancer Cells Xenografted in Immune-Suppressed Mice through the Activation of Apoptosis Intrinsic Pathway.</x:v>
      </x:c>
      <x:c r="R204" s="20" t="str">
        <x:v>Included</x:v>
      </x:c>
      <x:c r="S204" s="20" t="str">
        <x:v>2021</x:v>
      </x:c>
      <x:c r="T204" s="20" t="str">
        <x:v>2021/12/01</x:v>
      </x:c>
      <x:c r="U204" s="20" t="str">
        <x:v>isorhamnetin</x:v>
      </x:c>
      <x:c r="V204" s="20" t="str">
        <x:v>Opuntia ficus-indica 提取物</x:v>
      </x:c>
      <x:c r="W204" s="20" t="str">
        <x:v>Not established from supplied source field</x:v>
      </x:c>
      <x:c r="X204" s="20" t="str">
        <x:v>Generic botanical, dietary, computational, or unspecified association</x:v>
      </x:c>
      <x:c r="Y204" s="20" t="str">
        <x:v>PMID 34786663; PMID34786663</x:v>
      </x:c>
      <x:c r="Z204" s="20" t="str">
        <x:v>Extract/formula/decoction contextual evidence</x:v>
      </x:c>
      <x:c r="AA204" s="20" t="str">
        <x:v>Row-level annotation; deduplicate by PMID for final reference-level counts</x:v>
      </x:c>
    </x:row>
    <x:row r="205">
      <x:c r="A205" s="20" t="str">
        <x:v>isorhamnetin</x:v>
      </x:c>
      <x:c r="B205" s="20" t="str">
        <x:v>Flavonoids</x:v>
      </x:c>
      <x:c r="C205" s="20" t="str">
        <x:v>肠胃清Changweiqing (CWQ)</x:v>
      </x:c>
      <x:c r="D205" s="20" t="str">
        <x:v>生物信息学分析（WGCNA、PPI、分子对接）、公共数据库（TCGA、UALCAN等）</x:v>
      </x:c>
      <x:c r="E205" s="20" t="str">
        <x:v>Network/in silico</x:v>
      </x:c>
      <x:c r="F205" s="20" t="str">
        <x:v>not captured in source extraction</x:v>
      </x:c>
      <x:c r="G205" s="20" t="str">
        <x:v>调控癌症通路、MAPK 信号通路和 AGE-RAGE 信号通路</x:v>
      </x:c>
      <x:c r="H205" s="20" t="str">
        <x:v>not reported</x:v>
      </x:c>
      <x:c r="I205" s="20" t="str">
        <x:v>not captured</x:v>
      </x:c>
      <x:c r="J205" s="20" t="str">
        <x:v>not reported</x:v>
      </x:c>
      <x:c r="K205" s="20" t="str">
        <x:v>not reported</x:v>
      </x:c>
      <x:c r="L205" s="20" t="str">
        <x:v>Level 4: in silico-only</x:v>
      </x:c>
      <x:c r="M205" s="20" t="str">
        <x:v>MAPK/JNK/ERK</x:v>
      </x:c>
      <x:c r="N205" s="20" t="str">
        <x:v>40065477</x:v>
      </x:c>
      <x:c r="O205" s="20" t="str">
        <x:v>PMID40065477</x:v>
      </x:c>
      <x:c r="P205" s="20" t="str">
        <x:v>isorhamnetin\40065477-Network pharmacological approach com Source Hereditas SO 2025.pdf</x:v>
      </x:c>
      <x:c r="Q205" s="20" t="str">
        <x:v>Network pharmacological approach combined with weighted gene co-expression network analysis identifies CDKN2A as the keg target of Changweiqing against colorectal cancer.</x:v>
      </x:c>
      <x:c r="R205" s="20" t="str">
        <x:v>Included</x:v>
      </x:c>
      <x:c r="S205" s="20" t="str">
        <x:v>2025</x:v>
      </x:c>
      <x:c r="T205" s="20" t="str">
        <x:v>2025/03/10</x:v>
      </x:c>
      <x:c r="U205" s="20" t="str">
        <x:v>isorhamnetin</x:v>
      </x:c>
      <x:c r="V205" s="20" t="str">
        <x:v>肠胃清Changweiqing (CWQ)</x:v>
      </x:c>
      <x:c r="W205" s="20" t="str">
        <x:v>Not established from supplied source field</x:v>
      </x:c>
      <x:c r="X205" s="20" t="str">
        <x:v>Generic botanical, dietary, computational, or unspecified association</x:v>
      </x:c>
      <x:c r="Y205" s="20" t="str">
        <x:v>PMID 40065477; PMID40065477</x:v>
      </x:c>
      <x:c r="Z205" s="20" t="str">
        <x:v>Network pharmacology/in silico evidence</x:v>
      </x:c>
      <x:c r="AA205" s="20" t="str">
        <x:v>Row-level annotation; deduplicate by PMID for final reference-level counts</x:v>
      </x:c>
    </x:row>
    <x:row r="206">
      <x:c r="A206" s="20" t="str">
        <x:v>isorhamnetin</x:v>
      </x:c>
      <x:c r="B206" s="20" t="str">
        <x:v>Flavonoids</x:v>
      </x:c>
      <x:c r="C206" s="20" t="str">
        <x:v>植物</x:v>
      </x:c>
      <x:c r="D206" s="20" t="str">
        <x:v>人结肠癌细胞 SW-480、HT-29；正常细胞 HaCaT</x:v>
      </x:c>
      <x:c r="E206" s="20" t="str">
        <x:v>In vitro</x:v>
      </x:c>
      <x:c r="F206" s="20" t="str">
        <x:v>not captured in source extraction</x:v>
      </x:c>
      <x:c r="G206" s="20" t="str">
        <x:v>CYP1A1, CYP1B1, MRP1, MRP5, P-gp, GST</x:v>
      </x:c>
      <x:c r="H206" s="20" t="str">
        <x:v>细胞毒性、促凋亡、下调耐药蛋白表达、潜在逆转耐药</x:v>
      </x:c>
      <x:c r="I206" s="20" t="str">
        <x:v>not captured</x:v>
      </x:c>
      <x:c r="J206" s="20" t="str">
        <x:v>对正常 HaCaT 细胞毒性低</x:v>
      </x:c>
      <x:c r="K206" s="20" t="str">
        <x:v>not reported</x:v>
      </x:c>
      <x:c r="L206" s="20" t="str">
        <x:v>Level 3: cell-based mechanistic evidence</x:v>
      </x:c>
      <x:c r="M206" s="20" t="str">
        <x:v>Apoptosis/cell cycle</x:v>
      </x:c>
      <x:c r="N206" s="20" t="str">
        <x:v>40649986</x:v>
      </x:c>
      <x:c r="O206" s="20" t="str">
        <x:v>PMID40649986</x:v>
      </x:c>
      <x:c r="P206" s="20" t="str">
        <x:v>isorhamnetin\204-40649986-isorhamnetin modulates drug resistan.pdf</x:v>
      </x:c>
      <x:c r="Q206" s="20" t="str">
        <x:v>Isorhamnetin Modulates Drug-Resistance-Related Biomarkers in Colon Cancer Cells.</x:v>
      </x:c>
      <x:c r="R206" s="20" t="str">
        <x:v>Included</x:v>
      </x:c>
      <x:c r="S206" s="20" t="str">
        <x:v>2025</x:v>
      </x:c>
      <x:c r="T206" s="20" t="str">
        <x:v>2025/06/27</x:v>
      </x:c>
      <x:c r="U206" s="20" t="str">
        <x:v>isorhamnetin</x:v>
      </x:c>
      <x:c r="V206" s="20" t="str">
        <x:v>植物</x:v>
      </x:c>
      <x:c r="W206" s="20" t="str">
        <x:v>Not established from supplied source field</x:v>
      </x:c>
      <x:c r="X206" s="20" t="str">
        <x:v>Generic botanical, dietary, computational, or unspecified association</x:v>
      </x:c>
      <x:c r="Y206" s="20" t="str">
        <x:v>PMID 40649986; PMID40649986</x:v>
      </x:c>
      <x:c r="Z206" s="20" t="str">
        <x:v>Purified isolated compound: isorhamnetin</x:v>
      </x:c>
      <x:c r="AA206" s="20" t="str">
        <x:v>Row-level annotation; deduplicate by PMID for final reference-level counts</x:v>
      </x:c>
    </x:row>
    <x:row r="207">
      <x:c r="A207" s="20" t="str">
        <x:v>isorhamnetin</x:v>
      </x:c>
      <x:c r="B207" s="20" t="str">
        <x:v>Flavonoids</x:v>
      </x:c>
      <x:c r="C207" s="20" t="str">
        <x:v>Eruca sativa（芝麻菜）</x:v>
      </x:c>
      <x:c r="D207" s="20" t="str">
        <x:v>计算模型：网络药理学、分子对接、分子动力学模拟</x:v>
      </x:c>
      <x:c r="E207" s="20" t="str">
        <x:v>Network/in silico</x:v>
      </x:c>
      <x:c r="F207" s="20" t="str">
        <x:v>not captured in source extraction</x:v>
      </x:c>
      <x:c r="G207" s="20" t="str">
        <x:v>AKT1、PGR、MMP9 和 PTGS2</x:v>
      </x:c>
      <x:c r="H207" s="20" t="str">
        <x:v>not reported</x:v>
      </x:c>
      <x:c r="I207" s="20" t="str">
        <x:v>not captured</x:v>
      </x:c>
      <x:c r="J207" s="20" t="str">
        <x:v>not reported</x:v>
      </x:c>
      <x:c r="K207" s="20" t="str">
        <x:v>not reported</x:v>
      </x:c>
      <x:c r="L207" s="20" t="str">
        <x:v>Level 4: in silico-only</x:v>
      </x:c>
      <x:c r="M207" s="20" t="str">
        <x:v>PI3K/Akt/mTOR/metabolism; EMT/ECM/metastasis</x:v>
      </x:c>
      <x:c r="N207" s="20" t="str">
        <x:v>40283891</x:v>
      </x:c>
      <x:c r="O207" s="20" t="str">
        <x:v>not available</x:v>
      </x:c>
      <x:c r="P207" s="20" t="str">
        <x:v>isorhamnetin\206-40283891-insights into the therapeutic target source pharmaceuticals basel so 2025.pdf</x:v>
      </x:c>
      <x:c r="Q207" s="20" t="str">
        <x:v>not retained - incomplete bibliographic metadata</x:v>
      </x:c>
      <x:c r="R207" s="20" t="str">
        <x:v>Excluded: no CRC-specific model or outcome extracted</x:v>
      </x:c>
      <x:c r="S207" s="20" t="str">
        <x:v>2025</x:v>
      </x:c>
      <x:c r="T207" s="20" t="str">
        <x:v>2025/03/24</x:v>
      </x:c>
      <x:c r="U207" s="20" t="str">
        <x:v>isorhamnetin</x:v>
      </x:c>
      <x:c r="V207" s="20" t="str">
        <x:v>Eruca sativa（芝麻菜）</x:v>
      </x:c>
      <x:c r="W207" s="20" t="str">
        <x:v>Not established from supplied source field</x:v>
      </x:c>
      <x:c r="X207" s="20" t="str">
        <x:v>Generic botanical, dietary, computational, or unspecified association</x:v>
      </x:c>
      <x:c r="Y207" s="20" t="str">
        <x:v>PMID 40283891; not available</x:v>
      </x:c>
      <x:c r="Z207" s="20" t="str">
        <x:v>Not assessed for final attribution (excluded record)</x:v>
      </x:c>
      <x:c r="AA207" s="20" t="str">
        <x:v>Row-level annotation; deduplicate by PMID for final reference-level counts</x:v>
      </x:c>
    </x:row>
    <x:row r="208">
      <x:c r="A208" s="20" t="str">
        <x:v>beta-sitosterol</x:v>
      </x:c>
      <x:c r="B208" s="20" t="str">
        <x:v>Phytosterols</x:v>
      </x:c>
      <x:c r="C208" s="20" t="str">
        <x:v>左金胶囊（Zuojin Capsule, ZJC）</x:v>
      </x:c>
      <x:c r="D208" s="20" t="str">
        <x:v>1. 体外模型：结直肠癌细胞（CRC cells）
2. 体内模型：HCT-116 细胞系移植瘤小鼠模型（HCT-116 xenografted mice）</x:v>
      </x:c>
      <x:c r="E208" s="20" t="str">
        <x:v>In vitro + in vivo</x:v>
      </x:c>
      <x:c r="F208" s="20" t="str">
        <x:v>not captured in source extraction</x:v>
      </x:c>
      <x:c r="G208" s="20" t="str">
        <x:v>P53 信号通路</x:v>
      </x:c>
      <x:c r="H208" s="20" t="str">
        <x:v>1. 抑制结直肠癌细胞增殖；
2. 阻滞细胞周期进程；
3. 诱导细胞凋亡；
4. 抑制肿瘤迁移。</x:v>
      </x:c>
      <x:c r="I208" s="20" t="str">
        <x:v>not captured</x:v>
      </x:c>
      <x:c r="J208" s="20" t="str">
        <x:v>not reported</x:v>
      </x:c>
      <x:c r="K208" s="20" t="str">
        <x:v>not reported</x:v>
      </x:c>
      <x:c r="L208" s="20" t="str">
        <x:v>Level 1: animal-validated mechanistic evidence</x:v>
      </x:c>
      <x:c r="M208" s="20" t="str">
        <x:v>Apoptosis/cell cycle; EMT/ECM/metastasis</x:v>
      </x:c>
      <x:c r="N208" s="20" t="str">
        <x:v>34942456</x:v>
      </x:c>
      <x:c r="O208" s="20" t="str">
        <x:v>PMID34942456</x:v>
      </x:c>
      <x:c r="P208" s="20" t="str">
        <x:v>beta-sitosterol\207-34942456-integrating network pharmacology dec source phytomedicine actions search in pubmed search in nlm catalog add to search 2021 dec 9 96 153881 doi 10 1016 j phymed 2021 153881 online ahead of print].pdf</x:v>
      </x:c>
      <x:c r="Q208" s="20" t="str">
        <x:v>Integrating network pharmacology deciphers the action mechanism of Zuojin capsule in suppressing colorectal cancer.</x:v>
      </x:c>
      <x:c r="R208" s="20" t="str">
        <x:v>Included</x:v>
      </x:c>
      <x:c r="S208" s="20" t="str">
        <x:v>2022</x:v>
      </x:c>
      <x:c r="T208" s="20" t="str">
        <x:v>2022/02/01</x:v>
      </x:c>
      <x:c r="U208" s="20" t="str">
        <x:v>beta-sitosterol</x:v>
      </x:c>
      <x:c r="V208" s="20" t="str">
        <x:v>左金胶囊（Zuojin Capsule, ZJC）</x:v>
      </x:c>
      <x:c r="W208" s="20" t="str">
        <x:v>Contextual association only</x:v>
      </x:c>
      <x:c r="X208" s="20" t="str">
        <x:v>Compound annotated within a TCM formula or preparation</x:v>
      </x:c>
      <x:c r="Y208" s="20" t="str">
        <x:v>PMID 34942456; PMID34942456</x:v>
      </x:c>
      <x:c r="Z208" s="20" t="str">
        <x:v>Extract/formula/decoction contextual evidence</x:v>
      </x:c>
      <x:c r="AA208" s="20" t="str">
        <x:v>Row-level annotation; deduplicate by PMID for final reference-level counts</x:v>
      </x:c>
    </x:row>
    <x:row r="209">
      <x:c r="A209" s="20" t="str">
        <x:v>beta-sitosterol</x:v>
      </x:c>
      <x:c r="B209" s="20" t="str">
        <x:v>Phytosterols</x:v>
      </x:c>
      <x:c r="C209" s="20" t="str">
        <x:v>坚果、植物油、谷物和人参等多种中药</x:v>
      </x:c>
      <x:c r="D209" s="20" t="str">
        <x:v>人结肠癌HCT116细胞</x:v>
      </x:c>
      <x:c r="E209" s="20" t="str">
        <x:v>In vitro</x:v>
      </x:c>
      <x:c r="F209" s="20" t="str">
        <x:v>not captured in source extraction</x:v>
      </x:c>
      <x:c r="G209" s="20" t="str">
        <x:v>β谷甾醇通过抑制LEF1的表达，阻断LEF1介导的Wntβcatenin信号通路，从而抑制结肠癌细胞的增殖和侵袭。</x:v>
      </x:c>
      <x:c r="H209" s="20" t="str">
        <x:v>显著抑制HCT116细胞的增殖（CCK8和克隆实验支持）；抑制细胞迁移和侵袭能力（划痕实验支持）；下调Wnt通路下游靶基因表达（Cmyc Survivin CCND1）；阻断Wnt信号传导；减少细胞集落形成能力。</x:v>
      </x:c>
      <x:c r="I209" s="20" t="str">
        <x:v>not captured</x:v>
      </x:c>
      <x:c r="J209" s="20" t="str">
        <x:v>not reported</x:v>
      </x:c>
      <x:c r="K209" s="20" t="str">
        <x:v>not reported</x:v>
      </x:c>
      <x:c r="L209" s="20" t="str">
        <x:v>Level 3: cell-based mechanistic evidence</x:v>
      </x:c>
      <x:c r="M209" s="20" t="str">
        <x:v>Wnt/beta-catenin/stemness; EMT/ECM/metastasis</x:v>
      </x:c>
      <x:c r="N209" s="20" t="str">
        <x:v>36603684</x:v>
      </x:c>
      <x:c r="O209" s="20" t="str">
        <x:v>PMID36603684</x:v>
      </x:c>
      <x:c r="P209" s="20" t="str">
        <x:v>beta-sitosterol\208-36603684-sitosterol blocks the lef 1 mediat source cell signal so 2023.pdf</x:v>
      </x:c>
      <x:c r="Q209" s="20" t="str">
        <x:v>beta-Sitosterol blocks the LEF-1-mediated Wnt/beta-catenin pathway to inhibit proliferation of human colon cancer cells.</x:v>
      </x:c>
      <x:c r="R209" s="20" t="str">
        <x:v>Included</x:v>
      </x:c>
      <x:c r="S209" s="20" t="str">
        <x:v>2023</x:v>
      </x:c>
      <x:c r="T209" s="20" t="str">
        <x:v>2023/04/01</x:v>
      </x:c>
      <x:c r="U209" s="20" t="str">
        <x:v>beta-sitosterol</x:v>
      </x:c>
      <x:c r="V209" s="20" t="str">
        <x:v>坚果、植物油、谷物和人参等多种中药</x:v>
      </x:c>
      <x:c r="W209" s="20" t="str">
        <x:v>Not established from supplied source field</x:v>
      </x:c>
      <x:c r="X209" s="20" t="str">
        <x:v>Generic botanical, dietary, computational, or unspecified association</x:v>
      </x:c>
      <x:c r="Y209" s="20" t="str">
        <x:v>PMID 36603684; PMID36603684</x:v>
      </x:c>
      <x:c r="Z209" s="20" t="str">
        <x:v>Purified isolated compound: beta-sitosterol</x:v>
      </x:c>
      <x:c r="AA209" s="20" t="str">
        <x:v>Row-level annotation; deduplicate by PMID for final reference-level counts</x:v>
      </x:c>
    </x:row>
    <x:row r="210">
      <x:c r="A210" s="20" t="str">
        <x:v>beta-sitosterol</x:v>
      </x:c>
      <x:c r="B210" s="20" t="str">
        <x:v>Phytosterols</x:v>
      </x:c>
      <x:c r="C210" s="20" t="str">
        <x:v>植物</x:v>
      </x:c>
      <x:c r="D210" s="20" t="str">
        <x:v>体外细胞模型
1 Caco 2 细胞 人结肠肿瘤细胞
2 CCD 18Co 细胞 人非肿瘤结肠细胞</x:v>
      </x:c>
      <x:c r="E210" s="20" t="str">
        <x:v>In vitro</x:v>
      </x:c>
      <x:c r="F210" s="20" t="str">
        <x:v>not captured in source extraction</x:v>
      </x:c>
      <x:c r="G210" s="20" t="str">
        <x:v>线粒体介导的内源性凋亡通路</x:v>
      </x:c>
      <x:c r="H210" s="20" t="str">
        <x:v>1 抑制Caco 2肿瘤细胞增殖（经MTT法证实）
2 诱导肿瘤细胞凋亡
3 通过ROS和ceramide途径触发内源性凋亡
4 下调p21基因表达
5 同时对非肿瘤细胞具有保护作用 可减轻胆固醇代谢物cholestenone的细胞毒性</x:v>
      </x:c>
      <x:c r="I210" s="20" t="str">
        <x:v>not captured</x:v>
      </x:c>
      <x:c r="J210" s="20" t="str">
        <x:v>not reported</x:v>
      </x:c>
      <x:c r="K210" s="20" t="str">
        <x:v>not reported</x:v>
      </x:c>
      <x:c r="L210" s="20" t="str">
        <x:v>Level 3: cell-based mechanistic evidence</x:v>
      </x:c>
      <x:c r="M210" s="20" t="str">
        <x:v>Apoptosis/cell cycle; ROS/ferroptosis</x:v>
      </x:c>
      <x:c r="N210" s="20" t="str">
        <x:v>37982821</x:v>
      </x:c>
      <x:c r="O210" s="20" t="str">
        <x:v>PMID37982821</x:v>
      </x:c>
      <x:c r="P210" s="20" t="str">
        <x:v>beta-sitosterol\209-37982821-ethylcoprostanol modulates colorecta source food funct so 2023.pdf</x:v>
      </x:c>
      <x:c r="Q210" s="20" t="str">
        <x:v>Ethylcoprostanol modulates colorectal cancer cell proliferation and mitigates cytotoxicity of cholesterol metabolites in non-tumor colon cells.</x:v>
      </x:c>
      <x:c r="R210" s="20" t="str">
        <x:v>Included</x:v>
      </x:c>
      <x:c r="S210" s="20" t="str">
        <x:v>2023</x:v>
      </x:c>
      <x:c r="T210" s="20" t="str">
        <x:v>2023/12/11</x:v>
      </x:c>
      <x:c r="U210" s="20" t="str">
        <x:v>beta-sitosterol</x:v>
      </x:c>
      <x:c r="V210" s="20" t="str">
        <x:v>植物</x:v>
      </x:c>
      <x:c r="W210" s="20" t="str">
        <x:v>Not established from supplied source field</x:v>
      </x:c>
      <x:c r="X210" s="20" t="str">
        <x:v>Generic botanical, dietary, computational, or unspecified association</x:v>
      </x:c>
      <x:c r="Y210" s="20" t="str">
        <x:v>PMID 37982821; PMID37982821</x:v>
      </x:c>
      <x:c r="Z210" s="20" t="str">
        <x:v>Derivative/metabolite contextual evidence</x:v>
      </x:c>
      <x:c r="AA210" s="20" t="str">
        <x:v>Row-level annotation; deduplicate by PMID for final reference-level counts</x:v>
      </x:c>
    </x:row>
    <x:row r="211">
      <x:c r="A211" s="20" t="str">
        <x:v>beta-sitosterol</x:v>
      </x:c>
      <x:c r="B211" s="20" t="str">
        <x:v>Phytosterols</x:v>
      </x:c>
      <x:c r="C211" s="20" t="str">
        <x:v>植物</x:v>
      </x:c>
      <x:c r="D211" s="20" t="str">
        <x:v>大鼠结肠癌模型，采用体内+ 计算机模拟</x:v>
      </x:c>
      <x:c r="E211" s="20" t="str">
        <x:v>In vivo</x:v>
      </x:c>
      <x:c r="F211" s="20" t="str">
        <x:v>not captured in source extraction</x:v>
      </x:c>
      <x:c r="G211" s="20" t="str">
        <x:v>可能VEGF介导的血管生成通路；MMP-9相关的侵袭转移通路；IL-10调控的抗炎免疫通路</x:v>
      </x:c>
      <x:c r="H211" s="20" t="str">
        <x:v>1. 显著降低氧化应激标志物（8-OHdG、蛋白羰基、NO）
2. 提高抗氧化酶活性（GSH、SOD、CAT）
3. 抑制促癌因子（VEGF、MMP-9）
4. 上调抗炎因子IL-10
5. 减轻镍诱导的系统性炎症和DNA损伤</x:v>
      </x:c>
      <x:c r="I211" s="20" t="str">
        <x:v>yes</x:v>
      </x:c>
      <x:c r="J211" s="20" t="str">
        <x:v>not reported</x:v>
      </x:c>
      <x:c r="K211" s="20" t="str">
        <x:v>not reported</x:v>
      </x:c>
      <x:c r="L211" s="20" t="str">
        <x:v>Level 2: in vivo evidence</x:v>
      </x:c>
      <x:c r="M211" s="20" t="str">
        <x:v>NF-kB/STAT3/inflammation; ROS/ferroptosis; EMT/ECM/metastasis; Immune microenvironment</x:v>
      </x:c>
      <x:c r="N211" s="20" t="str">
        <x:v>38049552</x:v>
      </x:c>
      <x:c r="O211" s="20" t="str">
        <x:v>PMID38049552</x:v>
      </x:c>
      <x:c r="P211" s="20" t="str">
        <x:v>beta-sitosterol\210-38049552-countenance and implication of sit source sci rep so 2023.pdf</x:v>
      </x:c>
      <x:c r="Q211" s="20" t="str">
        <x:v>Countenance and implication of -sitosterol, -amyrin and epiafzelechin in nickel exposed Rat: in-silico and in-vivo approach.</x:v>
      </x:c>
      <x:c r="R211" s="20" t="str">
        <x:v>Included</x:v>
      </x:c>
      <x:c r="S211" s="20" t="str">
        <x:v>2023</x:v>
      </x:c>
      <x:c r="T211" s="20" t="str">
        <x:v>2023/12/04</x:v>
      </x:c>
      <x:c r="U211" s="20" t="str">
        <x:v>beta-sitosterol</x:v>
      </x:c>
      <x:c r="V211" s="20" t="str">
        <x:v>植物</x:v>
      </x:c>
      <x:c r="W211" s="20" t="str">
        <x:v>Not established from supplied source field</x:v>
      </x:c>
      <x:c r="X211" s="20" t="str">
        <x:v>Generic botanical, dietary, computational, or unspecified association</x:v>
      </x:c>
      <x:c r="Y211" s="20" t="str">
        <x:v>PMID 38049552; PMID38049552</x:v>
      </x:c>
      <x:c r="Z211" s="20" t="str">
        <x:v>Network pharmacology/in silico evidence</x:v>
      </x:c>
      <x:c r="AA211" s="20" t="str">
        <x:v>Row-level annotation; deduplicate by PMID for final reference-level counts</x:v>
      </x:c>
    </x:row>
    <x:row r="212">
      <x:c r="A212" s="20" t="str">
        <x:v>beta-sitosterol</x:v>
      </x:c>
      <x:c r="B212" s="20" t="str">
        <x:v>Phytosterols</x:v>
      </x:c>
      <x:c r="C212" s="20" t="str">
        <x:v>薏苡附子败酱散</x:v>
      </x:c>
      <x:c r="D212" s="20" t="str">
        <x:v>网络药理学和分子对接</x:v>
      </x:c>
      <x:c r="E212" s="20" t="str">
        <x:v>Network/in silico</x:v>
      </x:c>
      <x:c r="F212" s="20" t="str">
        <x:v>not captured in source extraction</x:v>
      </x:c>
      <x:c r="G212" s="20" t="str">
        <x:v>PI3K-Akt 信号通路、TNF 信号通路和 IL-17 信号通路</x:v>
      </x:c>
      <x:c r="H212" s="20" t="str">
        <x:v>控制细胞凋亡、增殖以及蛋白质和酶的结合来减缓结直肠癌的进展。</x:v>
      </x:c>
      <x:c r="I212" s="20" t="str">
        <x:v>not captured</x:v>
      </x:c>
      <x:c r="J212" s="20" t="str">
        <x:v>not reported</x:v>
      </x:c>
      <x:c r="K212" s="20" t="str">
        <x:v>not reported</x:v>
      </x:c>
      <x:c r="L212" s="20" t="str">
        <x:v>Contextual mixture/formulation evidence</x:v>
      </x:c>
      <x:c r="M212" s="20" t="str">
        <x:v>Apoptosis/cell cycle; PI3K/Akt/mTOR/metabolism; MAPK/JNK/ERK</x:v>
      </x:c>
      <x:c r="N212" s="20" t="str">
        <x:v>36735641</x:v>
      </x:c>
      <x:c r="O212" s="20" t="str">
        <x:v>PMID36735641</x:v>
      </x:c>
      <x:c r="P212" s="20" t="str">
        <x:v>beta-sitosterol\211-36735641-exploring the mechanism of action of source biotechnol genet eng rev so 2023.pdf</x:v>
      </x:c>
      <x:c r="Q212" s="20" t="str">
        <x:v>Exploring the mechanism of action of Yiyi Fuzi Baijiang powder in colorectal cancer based on network pharmacology and molecular docking studies.</x:v>
      </x:c>
      <x:c r="R212" s="20" t="str">
        <x:v>Included</x:v>
      </x:c>
      <x:c r="S212" s="20" t="str">
        <x:v>2023</x:v>
      </x:c>
      <x:c r="T212" s="20" t="str">
        <x:v>2023/10/01</x:v>
      </x:c>
      <x:c r="U212" s="20" t="str">
        <x:v>beta-sitosterol</x:v>
      </x:c>
      <x:c r="V212" s="20" t="str">
        <x:v>薏苡附子败酱散</x:v>
      </x:c>
      <x:c r="W212" s="20" t="str">
        <x:v>Contextual association only</x:v>
      </x:c>
      <x:c r="X212" s="20" t="str">
        <x:v>Compound annotated within a TCM formula or preparation</x:v>
      </x:c>
      <x:c r="Y212" s="20" t="str">
        <x:v>PMID 36735641; PMID36735641</x:v>
      </x:c>
      <x:c r="Z212" s="20" t="str">
        <x:v>Extract/formula/decoction contextual evidence</x:v>
      </x:c>
      <x:c r="AA212" s="20" t="str">
        <x:v>Row-level annotation; deduplicate by PMID for final reference-level counts</x:v>
      </x:c>
    </x:row>
    <x:row r="213">
      <x:c r="A213" s="20" t="str">
        <x:v>beta-sitosterol</x:v>
      </x:c>
      <x:c r="B213" s="20" t="str">
        <x:v>Phytosterols</x:v>
      </x:c>
      <x:c r="C213" s="20" t="str">
        <x:v>中药复方制剂 JC724</x:v>
      </x:c>
      <x:c r="D213" s="20" t="str">
        <x:v>网络药理学与转录组联合</x:v>
      </x:c>
      <x:c r="E213" s="20" t="str">
        <x:v>Network/in silico</x:v>
      </x:c>
      <x:c r="F213" s="20" t="str">
        <x:v>not captured in source extraction</x:v>
      </x:c>
      <x:c r="G213" s="20" t="str">
        <x:v>Nrf2信号通路；氧化应激相关通路；IL-17信号通路</x:v>
      </x:c>
      <x:c r="H213" s="20" t="str">
        <x:v>1. 参与调节结直肠癌相关基因表达；
2. 通过影响核心靶点（如HMOX1、NQO1等）发挥抗氧化、抗炎及潜在抗肿瘤作用；
3. 在网络模型中表现为与其他黄酮类成分协同作用于CRC关键通路。</x:v>
      </x:c>
      <x:c r="I213" s="20" t="str">
        <x:v>not captured</x:v>
      </x:c>
      <x:c r="J213" s="20" t="str">
        <x:v>not reported</x:v>
      </x:c>
      <x:c r="K213" s="20" t="str">
        <x:v>not reported</x:v>
      </x:c>
      <x:c r="L213" s="20" t="str">
        <x:v>Level 4: in silico-only</x:v>
      </x:c>
      <x:c r="M213" s="20" t="str">
        <x:v>ROS/ferroptosis</x:v>
      </x:c>
      <x:c r="N213" s="20" t="str">
        <x:v>36684054</x:v>
      </x:c>
      <x:c r="O213" s="20" t="str">
        <x:v>PMID36684054</x:v>
      </x:c>
      <x:c r="P213" s="20" t="str">
        <x:v>beta-sitosterol\212-36684054-a.pdf</x:v>
      </x:c>
      <x:c r="Q213" s="20" t="str">
        <x:v>Network pharmacology-based analysis of heat clearing and detoxifying drug JC724 on the treatment of colorectal cancer.</x:v>
      </x:c>
      <x:c r="R213" s="20" t="str">
        <x:v>Included</x:v>
      </x:c>
      <x:c r="S213" s="20" t="str">
        <x:v>2023</x:v>
      </x:c>
      <x:c r="T213" s="20" t="str">
        <x:v>2023/01/15</x:v>
      </x:c>
      <x:c r="U213" s="20" t="str">
        <x:v>beta-sitosterol</x:v>
      </x:c>
      <x:c r="V213" s="20" t="str">
        <x:v>中药复方制剂 JC724</x:v>
      </x:c>
      <x:c r="W213" s="20" t="str">
        <x:v>Contextual association only</x:v>
      </x:c>
      <x:c r="X213" s="20" t="str">
        <x:v>Compound annotated within a TCM formula or preparation</x:v>
      </x:c>
      <x:c r="Y213" s="20" t="str">
        <x:v>PMID 36684054; PMID36684054</x:v>
      </x:c>
      <x:c r="Z213" s="20" t="str">
        <x:v>Network pharmacology/in silico evidence</x:v>
      </x:c>
      <x:c r="AA213" s="20" t="str">
        <x:v>Row-level annotation; deduplicate by PMID for final reference-level counts</x:v>
      </x:c>
    </x:row>
    <x:row r="214">
      <x:c r="A214" s="20" t="str">
        <x:v>beta-sitosterol</x:v>
      </x:c>
      <x:c r="B214" s="20" t="str">
        <x:v>Phytosterols</x:v>
      </x:c>
      <x:c r="C214" s="20" t="str">
        <x:v>薏苡附子败酱散</x:v>
      </x:c>
      <x:c r="D214" s="20" t="str">
        <x:v>1. 体外模型：人结肠癌HT-29细胞系（用于CCK-8、划痕、侵袭、凋亡、ChIP等实验）；
2. 体内模型：BALB/c裸鼠皮下移植HT-29细胞构建的结肠癌异种移植瘤模型</x:v>
      </x:c>
      <x:c r="E214" s="20" t="str">
        <x:v>In vitro + in vivo</x:v>
      </x:c>
      <x:c r="F214" s="20" t="str">
        <x:v>not captured in source extraction</x:v>
      </x:c>
      <x:c r="G214" s="20" t="str">
        <x:v>TNF-α、白细胞介素-17 和 Toll 样受体信号通路</x:v>
      </x:c>
      <x:c r="H214" s="20" t="str">
        <x:v>抗炎信号传导和调节 TLR4/NF-κB 信号通路下调 SMOX 表达</x:v>
      </x:c>
      <x:c r="I214" s="20" t="str">
        <x:v>not captured</x:v>
      </x:c>
      <x:c r="J214" s="20" t="str">
        <x:v>not reported</x:v>
      </x:c>
      <x:c r="K214" s="20" t="str">
        <x:v>not reported</x:v>
      </x:c>
      <x:c r="L214" s="20" t="str">
        <x:v>Contextual mixture/formulation evidence</x:v>
      </x:c>
      <x:c r="M214" s="20" t="str">
        <x:v>Apoptosis/cell cycle; NF-kB/STAT3/inflammation; EMT/ECM/metastasis</x:v>
      </x:c>
      <x:c r="N214" s="20" t="str">
        <x:v>36353478</x:v>
      </x:c>
      <x:c r="O214" s="20" t="str">
        <x:v>PMID36353478</x:v>
      </x:c>
      <x:c r="P214" s="20" t="str">
        <x:v>beta-sitosterol\213-36353478-Identification of the effect and mec Source Front Pharmacol SO 2022.pdf</x:v>
      </x:c>
      <x:c r="Q214" s="20" t="str">
        <x:v>Identification of the effect and mechanism of Yiyi Fuzi Baijiang powder against colorectal cancer using network pharmacology and experimental validation.</x:v>
      </x:c>
      <x:c r="R214" s="20" t="str">
        <x:v>Included</x:v>
      </x:c>
      <x:c r="S214" s="20" t="str">
        <x:v>2022</x:v>
      </x:c>
      <x:c r="T214" s="20" t="str">
        <x:v>2022/10/24</x:v>
      </x:c>
      <x:c r="U214" s="20" t="str">
        <x:v>beta-sitosterol</x:v>
      </x:c>
      <x:c r="V214" s="20" t="str">
        <x:v>薏苡附子败酱散</x:v>
      </x:c>
      <x:c r="W214" s="20" t="str">
        <x:v>Contextual association only</x:v>
      </x:c>
      <x:c r="X214" s="20" t="str">
        <x:v>Compound annotated within a TCM formula or preparation</x:v>
      </x:c>
      <x:c r="Y214" s="20" t="str">
        <x:v>PMID 36353478; PMID36353478</x:v>
      </x:c>
      <x:c r="Z214" s="20" t="str">
        <x:v>Extract/formula/decoction contextual evidence</x:v>
      </x:c>
      <x:c r="AA214" s="20" t="str">
        <x:v>Row-level annotation; deduplicate by PMID for final reference-level counts</x:v>
      </x:c>
    </x:row>
    <x:row r="215">
      <x:c r="A215" s="20" t="str">
        <x:v>beta-sitosterol</x:v>
      </x:c>
      <x:c r="B215" s="20" t="str">
        <x:v>Phytosterols</x:v>
      </x:c>
      <x:c r="C215" s="20" t="str">
        <x:v>中药肿节风（Herba Sarcandrae, HS）</x:v>
      </x:c>
      <x:c r="D215" s="20" t="str">
        <x:v>体外模型：人结直肠癌细胞系
体内模型：结直肠癌异种移植瘤小鼠模型</x:v>
      </x:c>
      <x:c r="E215" s="20" t="str">
        <x:v>In vitro + in vivo</x:v>
      </x:c>
      <x:c r="F215" s="20" t="str">
        <x:v>not captured in source extraction</x:v>
      </x:c>
      <x:c r="G215" s="20" t="str">
        <x:v>β-sitosterol → 稳定 TBX20 蛋白 → 抑制 CRC 进展</x:v>
      </x:c>
      <x:c r="H215" s="20" t="str">
        <x:v>1. 抑制结直肠癌细胞增殖；
2. 诱导癌细胞凋亡；
3. 增强 CRC 对化疗药 5-FU 和奥沙利铂的敏感性；
4. 在体内显著抑制肿瘤生长</x:v>
      </x:c>
      <x:c r="I215" s="20" t="str">
        <x:v>not captured</x:v>
      </x:c>
      <x:c r="J215" s="20" t="str">
        <x:v>not reported</x:v>
      </x:c>
      <x:c r="K215" s="20" t="str">
        <x:v>not reported</x:v>
      </x:c>
      <x:c r="L215" s="20" t="str">
        <x:v>Level 1: animal-validated mechanistic evidence</x:v>
      </x:c>
      <x:c r="M215" s="20" t="str">
        <x:v>Apoptosis/cell cycle</x:v>
      </x:c>
      <x:c r="N215" s="20" t="str">
        <x:v>40889204</x:v>
      </x:c>
      <x:c r="O215" s="20" t="str">
        <x:v>PMID40889204</x:v>
      </x:c>
      <x:c r="P215" s="20" t="str">
        <x:v>beta-sitosterol\214-40889204-sitosterol as an anti tumour activ source j cell mol med so 2025.pdf</x:v>
      </x:c>
      <x:c r="Q215" s="20" t="str">
        <x:v>beta-Sitosterol as an Anti-Tumour Active Component of Herba Sarcandrae Inhibits Colorectal Cancer Progression Through Up-Regulation of TBX20.</x:v>
      </x:c>
      <x:c r="R215" s="20" t="str">
        <x:v>Included</x:v>
      </x:c>
      <x:c r="S215" s="20" t="str">
        <x:v>2025</x:v>
      </x:c>
      <x:c r="T215" s="20" t="str">
        <x:v>2025/09/01</x:v>
      </x:c>
      <x:c r="U215" s="20" t="str">
        <x:v>beta-sitosterol</x:v>
      </x:c>
      <x:c r="V215" s="20" t="str">
        <x:v>中药肿节风（Herba Sarcandrae, HS）</x:v>
      </x:c>
      <x:c r="W215" s="20" t="str">
        <x:v>Not established from supplied source field</x:v>
      </x:c>
      <x:c r="X215" s="20" t="str">
        <x:v>Generic botanical, dietary, computational, or unspecified association</x:v>
      </x:c>
      <x:c r="Y215" s="20" t="str">
        <x:v>PMID 40889204; PMID40889204</x:v>
      </x:c>
      <x:c r="Z215" s="20" t="str">
        <x:v>Purified isolated compound: beta-sitosterol</x:v>
      </x:c>
      <x:c r="AA215" s="20" t="str">
        <x:v>Row-level annotation; deduplicate by PMID for final reference-level counts</x:v>
      </x:c>
    </x:row>
    <x:row r="216">
      <x:c r="A216" s="20" t="str">
        <x:v>beta-sitosterol</x:v>
      </x:c>
      <x:c r="B216" s="20" t="str">
        <x:v>Phytosterols</x:v>
      </x:c>
      <x:c r="C216" s="20" t="str">
        <x:v>Terminalia arjuna（印度乳香树）的树皮</x:v>
      </x:c>
      <x:c r="D216" s="20" t="str">
        <x:v>提取优化模型；化学分析模型；生物信息学模型</x:v>
      </x:c>
      <x:c r="E216" s="20" t="str">
        <x:v>Not specified</x:v>
      </x:c>
      <x:c r="F216" s="20" t="str">
        <x:v>not captured in source extraction</x:v>
      </x:c>
      <x:c r="G216" s="20" t="str">
        <x:v>not reported</x:v>
      </x:c>
      <x:c r="H216" s="20" t="str">
        <x:v>抗氧化潜力；潜在的抗肿瘤活性</x:v>
      </x:c>
      <x:c r="I216" s="20" t="str">
        <x:v>not captured</x:v>
      </x:c>
      <x:c r="J216" s="20" t="str">
        <x:v>not reported</x:v>
      </x:c>
      <x:c r="K216" s="20" t="str">
        <x:v>not reported</x:v>
      </x:c>
      <x:c r="L216" s="20" t="str">
        <x:v>Contextual mixture/formulation evidence</x:v>
      </x:c>
      <x:c r="M216" s="20" t="str">
        <x:v>ROS/ferroptosis</x:v>
      </x:c>
      <x:c r="N216" s="20" t="str">
        <x:v>37850546</x:v>
      </x:c>
      <x:c r="O216" s="20" t="str">
        <x:v>not available</x:v>
      </x:c>
      <x:c r="P216" s="20" t="str">
        <x:v>beta-sitosterol\215-37850546-optimizing the extraction of polyphe source curr comput aided drug des so 2024.pdf</x:v>
      </x:c>
      <x:c r="Q216" s="20" t="str">
        <x:v>not retained - incomplete bibliographic metadata</x:v>
      </x:c>
      <x:c r="R216" s="20" t="str">
        <x:v>Excluded: no CRC-specific model or outcome extracted</x:v>
      </x:c>
      <x:c r="S216" s="20" t="str">
        <x:v>2024</x:v>
      </x:c>
      <x:c r="T216" s="20" t="str">
        <x:v>2024/01/01</x:v>
      </x:c>
      <x:c r="U216" s="20" t="str">
        <x:v>beta-sitosterol</x:v>
      </x:c>
      <x:c r="V216" s="20" t="str">
        <x:v>Terminalia arjuna（印度乳香树）的树皮</x:v>
      </x:c>
      <x:c r="W216" s="20" t="str">
        <x:v>Not established from supplied source field</x:v>
      </x:c>
      <x:c r="X216" s="20" t="str">
        <x:v>Generic botanical, dietary, computational, or unspecified association</x:v>
      </x:c>
      <x:c r="Y216" s="20" t="str">
        <x:v>PMID 37850546; not available</x:v>
      </x:c>
      <x:c r="Z216" s="20" t="str">
        <x:v>Not assessed for final attribution (excluded record)</x:v>
      </x:c>
      <x:c r="AA216" s="20" t="str">
        <x:v>Row-level annotation; deduplicate by PMID for final reference-level counts</x:v>
      </x:c>
    </x:row>
    <x:row r="217">
      <x:c r="A217" s="20" t="str">
        <x:v>beta-sitosterol</x:v>
      </x:c>
      <x:c r="B217" s="20" t="str">
        <x:v>Phytosterols</x:v>
      </x:c>
      <x:c r="C217" s="20" t="str">
        <x:v>大黄</x:v>
      </x:c>
      <x:c r="D217" s="20" t="str">
        <x:v>网络药理学 + 分子对接（计算模型）</x:v>
      </x:c>
      <x:c r="E217" s="20" t="str">
        <x:v>Network/in silico</x:v>
      </x:c>
      <x:c r="F217" s="20" t="str">
        <x:v>not captured in source extraction</x:v>
      </x:c>
      <x:c r="G217" s="20" t="str">
        <x:v>氮代谢、p53 信号通路和多种癌症相关通路，以及 AGE-RAGE 信号通路、雌激素信号通路、白细胞介素-17 信号通路和甲状腺激素信号通路</x:v>
      </x:c>
      <x:c r="H217" s="20" t="str">
        <x:v>not reported</x:v>
      </x:c>
      <x:c r="I217" s="20" t="str">
        <x:v>not captured</x:v>
      </x:c>
      <x:c r="J217" s="20" t="str">
        <x:v>not reported</x:v>
      </x:c>
      <x:c r="K217" s="20" t="str">
        <x:v>not reported</x:v>
      </x:c>
      <x:c r="L217" s="20" t="str">
        <x:v>Level 4: in silico-only</x:v>
      </x:c>
      <x:c r="M217" s="20" t="str">
        <x:v>EMT/ECM/metastasis</x:v>
      </x:c>
      <x:c r="N217" s="20" t="str">
        <x:v>38518016</x:v>
      </x:c>
      <x:c r="O217" s="20" t="str">
        <x:v>PMID38518016</x:v>
      </x:c>
      <x:c r="P217" s="20" t="str">
        <x:v>beta-sitosterol\216-38518016-prediction of potential mechanisms o.pdf</x:v>
      </x:c>
      <x:c r="Q217" s="20" t="str">
        <x:v>Prediction of potential mechanisms of rhubarb therapy for colorectal cancer based on network pharmacological analysis and molecular docking.</x:v>
      </x:c>
      <x:c r="R217" s="20" t="str">
        <x:v>Included</x:v>
      </x:c>
      <x:c r="S217" s="20" t="str">
        <x:v>2024</x:v>
      </x:c>
      <x:c r="T217" s="20" t="str">
        <x:v>2024/03/22</x:v>
      </x:c>
      <x:c r="U217" s="20" t="str">
        <x:v>beta-sitosterol</x:v>
      </x:c>
      <x:c r="V217" s="20" t="str">
        <x:v>大黄</x:v>
      </x:c>
      <x:c r="W217" s="20" t="str">
        <x:v>Not established from supplied source field</x:v>
      </x:c>
      <x:c r="X217" s="20" t="str">
        <x:v>Generic botanical, dietary, computational, or unspecified association</x:v>
      </x:c>
      <x:c r="Y217" s="20" t="str">
        <x:v>PMID 38518016; PMID38518016</x:v>
      </x:c>
      <x:c r="Z217" s="20" t="str">
        <x:v>Network pharmacology/in silico evidence</x:v>
      </x:c>
      <x:c r="AA217" s="20" t="str">
        <x:v>Row-level annotation; deduplicate by PMID for final reference-level counts</x:v>
      </x:c>
    </x:row>
    <x:row r="218">
      <x:c r="A218" s="20" t="str">
        <x:v>beta-sitosterol</x:v>
      </x:c>
      <x:c r="B218" s="20" t="str">
        <x:v>Phytosterols</x:v>
      </x:c>
      <x:c r="C218" s="20" t="str">
        <x:v>白花蛇舌草</x:v>
      </x:c>
      <x:c r="D218" s="20" t="str">
        <x:v>体外细胞模型：人结直肠癌 SW620 细胞系
生物信息学模型：基于TCGA、HPA、GEPIA数据库的基因表达与生存分析
分子对接模型</x:v>
      </x:c>
      <x:c r="E218" s="20" t="str">
        <x:v>In vitro</x:v>
      </x:c>
      <x:c r="F218" s="20" t="str">
        <x:v>not captured in source extraction</x:v>
      </x:c>
      <x:c r="G218" s="20" t="str">
        <x:v>TP53，CCND1</x:v>
      </x:c>
      <x:c r="H218" s="20" t="str">
        <x:v>抑制细胞增殖
诱导细胞凋亡</x:v>
      </x:c>
      <x:c r="I218" s="20" t="str">
        <x:v>not captured</x:v>
      </x:c>
      <x:c r="J218" s="20" t="str">
        <x:v>not reported</x:v>
      </x:c>
      <x:c r="K218" s="20" t="str">
        <x:v>not reported</x:v>
      </x:c>
      <x:c r="L218" s="20" t="str">
        <x:v>Level 3: cell-based mechanistic evidence</x:v>
      </x:c>
      <x:c r="M218" s="20" t="str">
        <x:v>Apoptosis/cell cycle</x:v>
      </x:c>
      <x:c r="N218" s="20" t="str">
        <x:v>38446216</x:v>
      </x:c>
      <x:c r="O218" s="20" t="str">
        <x:v>PMID38446216</x:v>
      </x:c>
      <x:c r="P218" s="20" t="str">
        <x:v>beta-sitosterol\217-38446216-network pharmacology and experimenta source naunyn schmiedebergs arch pharmacol so 2024.pdf</x:v>
      </x:c>
      <x:c r="Q218" s="20" t="str">
        <x:v>Network pharmacology and experimental verification study on the mechanism of Hedyotis diffusa Willd in treating colorectal cancer.</x:v>
      </x:c>
      <x:c r="R218" s="20" t="str">
        <x:v>Included</x:v>
      </x:c>
      <x:c r="S218" s="20" t="str">
        <x:v>2024</x:v>
      </x:c>
      <x:c r="T218" s="20" t="str">
        <x:v>2024/09/01</x:v>
      </x:c>
      <x:c r="U218" s="20" t="str">
        <x:v>beta-sitosterol</x:v>
      </x:c>
      <x:c r="V218" s="20" t="str">
        <x:v>白花蛇舌草</x:v>
      </x:c>
      <x:c r="W218" s="20" t="str">
        <x:v>Potentially traceable—named Chinese medicinal material recorded</x:v>
      </x:c>
      <x:c r="X218" s="20" t="str">
        <x:v>Named medicinal material in source extraction; author verification required</x:v>
      </x:c>
      <x:c r="Y218" s="20" t="str">
        <x:v>PMID 38446216; PMID38446216</x:v>
      </x:c>
      <x:c r="Z218" s="20" t="str">
        <x:v>Network pharmacology/in silico evidence</x:v>
      </x:c>
      <x:c r="AA218" s="20" t="str">
        <x:v>Row-level annotation; deduplicate by PMID for final reference-level counts</x:v>
      </x:c>
    </x:row>
    <x:row r="219">
      <x:c r="A219" s="20" t="str">
        <x:v>beta-sitosterol</x:v>
      </x:c>
      <x:c r="B219" s="20" t="str">
        <x:v>Phytosterols</x:v>
      </x:c>
      <x:c r="C219" s="20" t="str">
        <x:v>葛根</x:v>
      </x:c>
      <x:c r="D219" s="20" t="str">
        <x:v>人结直肠癌细胞系 SW480 和 SW620</x:v>
      </x:c>
      <x:c r="E219" s="20" t="str">
        <x:v>In vitro</x:v>
      </x:c>
      <x:c r="F219" s="20" t="str">
        <x:v>not captured in source extraction</x:v>
      </x:c>
      <x:c r="G219" s="20" t="str">
        <x:v>not reported</x:v>
      </x:c>
      <x:c r="H219" s="20" t="str">
        <x:v>抗肿瘤潜力</x:v>
      </x:c>
      <x:c r="I219" s="20" t="str">
        <x:v>not captured</x:v>
      </x:c>
      <x:c r="J219" s="20" t="str">
        <x:v>not reported</x:v>
      </x:c>
      <x:c r="K219" s="20" t="str">
        <x:v>not reported</x:v>
      </x:c>
      <x:c r="L219" s="20" t="str">
        <x:v>Level 3: cell-based mechanistic evidence</x:v>
      </x:c>
      <x:c r="M219" s="20" t="str">
        <x:v>not assigned</x:v>
      </x:c>
      <x:c r="N219" s="20" t="str">
        <x:v>36364084</x:v>
      </x:c>
      <x:c r="O219" s="20" t="str">
        <x:v>not available</x:v>
      </x:c>
      <x:c r="P219" s="20" t="str">
        <x:v>beta-sitosterol\218-36364084-studies on chemical composition of p source molecules so 2022.pdf</x:v>
      </x:c>
      <x:c r="Q219" s="20" t="str">
        <x:v>not retained - incomplete bibliographic metadata</x:v>
      </x:c>
      <x:c r="R219" s="20" t="str">
        <x:v>Excluded: incomplete bibliographic title requiring verification</x:v>
      </x:c>
      <x:c r="S219" s="20" t="str">
        <x:v>2022</x:v>
      </x:c>
      <x:c r="T219" s="20" t="str">
        <x:v>2022/10/26</x:v>
      </x:c>
      <x:c r="U219" s="20" t="str">
        <x:v>beta-sitosterol</x:v>
      </x:c>
      <x:c r="V219" s="20" t="str">
        <x:v>葛根</x:v>
      </x:c>
      <x:c r="W219" s="20" t="str">
        <x:v>Not established from supplied source field</x:v>
      </x:c>
      <x:c r="X219" s="20" t="str">
        <x:v>Generic botanical, dietary, computational, or unspecified association</x:v>
      </x:c>
      <x:c r="Y219" s="20" t="str">
        <x:v>PMID 36364084; not available</x:v>
      </x:c>
      <x:c r="Z219" s="20" t="str">
        <x:v>Not assessed for final attribution (excluded record)</x:v>
      </x:c>
      <x:c r="AA219" s="20" t="str">
        <x:v>Row-level annotation; deduplicate by PMID for final reference-level counts</x:v>
      </x:c>
    </x:row>
    <x:row r="220">
      <x:c r="A220" s="20" t="str">
        <x:v>beta-sitosterol</x:v>
      </x:c>
      <x:c r="B220" s="20" t="str">
        <x:v>Phytosterols</x:v>
      </x:c>
      <x:c r="C220" s="20" t="str">
        <x:v>Annona reticulata（刺果番荔枝）的乙醇叶提取物的石油醚组分</x:v>
      </x:c>
      <x:c r="D220" s="20" t="str">
        <x:v>人结肠癌细胞系 HCT-116</x:v>
      </x:c>
      <x:c r="E220" s="20" t="str">
        <x:v>In vitro</x:v>
      </x:c>
      <x:c r="F220" s="20" t="str">
        <x:v>not captured in source extraction</x:v>
      </x:c>
      <x:c r="G220" s="20" t="str">
        <x:v>可能作用于 EIF4E, B-Raf, NOS2, ICAM, caspase 3, caspase 8, MMP-9 等靶点</x:v>
      </x:c>
      <x:c r="H220" s="20" t="str">
        <x:v>显著抑制HCT-116结肠癌细胞的增殖、迁移</x:v>
      </x:c>
      <x:c r="I220" s="20" t="str">
        <x:v>not captured</x:v>
      </x:c>
      <x:c r="J220" s="20" t="str">
        <x:v>not reported</x:v>
      </x:c>
      <x:c r="K220" s="20" t="str">
        <x:v>not reported</x:v>
      </x:c>
      <x:c r="L220" s="20" t="str">
        <x:v>Contextual mixture/formulation evidence</x:v>
      </x:c>
      <x:c r="M220" s="20" t="str">
        <x:v>Apoptosis/cell cycle; EMT/ECM/metastasis</x:v>
      </x:c>
      <x:c r="N220" s="20" t="str">
        <x:v>39866203</x:v>
      </x:c>
      <x:c r="O220" s="20" t="str">
        <x:v>not available</x:v>
      </x:c>
      <x:c r="P220" s="20" t="str">
        <x:v>beta-sitosterol\219-39866203-evaluation of the merit of ethanolic source f1000res so 1000.pdf</x:v>
      </x:c>
      <x:c r="Q220" s="20" t="str">
        <x:v>not retained - incomplete bibliographic metadata</x:v>
      </x:c>
      <x:c r="R220" s="20" t="str">
        <x:v>Excluded: incomplete bibliographic title requiring verification</x:v>
      </x:c>
      <x:c r="S220" s="20" t="str">
        <x:v>2024</x:v>
      </x:c>
      <x:c r="T220" s="20" t="str">
        <x:v>2024/06/07</x:v>
      </x:c>
      <x:c r="U220" s="20" t="str">
        <x:v>beta-sitosterol</x:v>
      </x:c>
      <x:c r="V220" s="20" t="str">
        <x:v>Annona reticulata（刺果番荔枝）的乙醇叶提取物的石油醚组分</x:v>
      </x:c>
      <x:c r="W220" s="20" t="str">
        <x:v>Not established from supplied source field</x:v>
      </x:c>
      <x:c r="X220" s="20" t="str">
        <x:v>Generic botanical, dietary, computational, or unspecified association</x:v>
      </x:c>
      <x:c r="Y220" s="20" t="str">
        <x:v>PMID 39866203; not available</x:v>
      </x:c>
      <x:c r="Z220" s="20" t="str">
        <x:v>Not assessed for final attribution (excluded record)</x:v>
      </x:c>
      <x:c r="AA220" s="20" t="str">
        <x:v>Row-level annotation; deduplicate by PMID for final reference-level counts</x:v>
      </x:c>
    </x:row>
    <x:row r="221">
      <x:c r="A221" s="20" t="str">
        <x:v>emodin/aloe-emodin</x:v>
      </x:c>
      <x:c r="B221" s="20" t="str">
        <x:v>Anthraquinones</x:v>
      </x:c>
      <x:c r="C221" s="20" t="str">
        <x:v>芦荟</x:v>
      </x:c>
      <x:c r="D221" s="20" t="str">
        <x:v>体外：SW620 和 HT29 结直肠癌细胞系；AE 浓度为 10, 20, 40 μM</x:v>
      </x:c>
      <x:c r="E221" s="20" t="str">
        <x:v>In vitro</x:v>
      </x:c>
      <x:c r="F221" s="20" t="str">
        <x:v>Aloe-emodin 10, 20, and 40 µM in SW620 and HT29 cells</x:v>
      </x:c>
      <x:c r="G221" s="20" t="str">
        <x:v>ER stress-dependent apoptosis 通路：
AE → ROS↑ → ER stress → UPR激活（PERK/eIF2α/CHOP）→ Ca²⁺↑ → calpain &amp; caspase-12↑ → 凋亡</x:v>
      </x:c>
      <x:c r="H221" s="20" t="str">
        <x:v>抑制增殖、诱导凋亡、ROS↑、Ca²⁺↑、ER stress、UPR激活</x:v>
      </x:c>
      <x:c r="I221" s="20" t="str">
        <x:v>not captured</x:v>
      </x:c>
      <x:c r="J221" s="20" t="str">
        <x:v>not reported</x:v>
      </x:c>
      <x:c r="K221" s="20" t="str">
        <x:v>not reported</x:v>
      </x:c>
      <x:c r="L221" s="20" t="str">
        <x:v>Level 3: cell-based mechanistic evidence</x:v>
      </x:c>
      <x:c r="M221" s="20" t="str">
        <x:v>Apoptosis/cell cycle; MAPK/JNK/ERK; ROS/ferroptosis</x:v>
      </x:c>
      <x:c r="N221" s="20" t="str">
        <x:v>30199885</x:v>
      </x:c>
      <x:c r="O221" s="20" t="str">
        <x:v>PMID30199885</x:v>
      </x:c>
      <x:c r="P221" s="20" t="str">
        <x:v>emodin   aloe-emodin\220-30199885-aloe-emodin induces endoplasmic reticulum stress-dependent apoptosis in colorectal cancer cells.pdf</x:v>
      </x:c>
      <x:c r="Q221" s="20" t="str">
        <x:v>Aloe-Emodin Induces Endoplasmic Reticulum Stress-Dependent Apoptosis in Colorectal Cancer Cells.</x:v>
      </x:c>
      <x:c r="R221" s="20" t="str">
        <x:v>Included</x:v>
      </x:c>
      <x:c r="S221" s="20" t="str">
        <x:v>2018</x:v>
      </x:c>
      <x:c r="T221" s="20" t="str">
        <x:v>2018/09/10</x:v>
      </x:c>
      <x:c r="U221" s="20" t="str">
        <x:v>emodin/aloe-emodin</x:v>
      </x:c>
      <x:c r="V221" s="20" t="str">
        <x:v>芦荟</x:v>
      </x:c>
      <x:c r="W221" s="20" t="str">
        <x:v>Not established from supplied source field</x:v>
      </x:c>
      <x:c r="X221" s="20" t="str">
        <x:v>Generic botanical, dietary, computational, or unspecified association</x:v>
      </x:c>
      <x:c r="Y221" s="20" t="str">
        <x:v>PMID 30199885; PMID30199885</x:v>
      </x:c>
      <x:c r="Z221" s="20" t="str">
        <x:v>Purified isolated compound: emodin/aloe-emodin</x:v>
      </x:c>
      <x:c r="AA221" s="20" t="str">
        <x:v>Row-level annotation; deduplicate by PMID for final reference-level counts</x:v>
      </x:c>
    </x:row>
    <x:row r="222">
      <x:c r="A222" s="20" t="str">
        <x:v>emodin/aloe-emodin</x:v>
      </x:c>
      <x:c r="B222" s="20" t="str">
        <x:v>Anthraquinones</x:v>
      </x:c>
      <x:c r="C222" s="20" t="str">
        <x:v>天然产物</x:v>
      </x:c>
      <x:c r="D222" s="20" t="str">
        <x:v>通过调节 GRP78</x:v>
      </x:c>
      <x:c r="E222" s="20" t="str">
        <x:v>Not specified</x:v>
      </x:c>
      <x:c r="F222" s="20" t="str">
        <x:v>not captured in source extraction</x:v>
      </x:c>
      <x:c r="G222" s="20" t="str">
        <x:v>not reported</x:v>
      </x:c>
      <x:c r="H222" s="20" t="str">
        <x:v>GRP78</x:v>
      </x:c>
      <x:c r="I222" s="20" t="str">
        <x:v>not captured</x:v>
      </x:c>
      <x:c r="J222" s="20" t="str">
        <x:v>not reported</x:v>
      </x:c>
      <x:c r="K222" s="20" t="str">
        <x:v>not reported</x:v>
      </x:c>
      <x:c r="L222" s="20" t="str">
        <x:v>Excluded: insufficient extractable evidence</x:v>
      </x:c>
      <x:c r="M222" s="20" t="str">
        <x:v>not assigned</x:v>
      </x:c>
      <x:c r="N222" s="20" t="str">
        <x:v>39870235</x:v>
      </x:c>
      <x:c r="O222" s="20" t="str">
        <x:v>PMID39870235</x:v>
      </x:c>
      <x:c r="P222" s="20" t="str">
        <x:v>emodin   aloe-emodin\221-39870235-grp78 a new promising candidate in source eur j pharmacol so 2025.pdf</x:v>
      </x:c>
      <x:c r="Q222" s="20" t="str">
        <x:v>GRP78: A new promising candidate in colorectal cancer pathogenesis and therapy.</x:v>
      </x:c>
      <x:c r="R222" s="20" t="str">
        <x:v>Excluded: insufficient extractable evidence</x:v>
      </x:c>
      <x:c r="S222" s="20" t="str">
        <x:v>2025</x:v>
      </x:c>
      <x:c r="T222" s="20" t="str">
        <x:v>2025/05/15</x:v>
      </x:c>
      <x:c r="U222" s="20" t="str">
        <x:v>emodin/aloe-emodin</x:v>
      </x:c>
      <x:c r="V222" s="20" t="str">
        <x:v>天然产物</x:v>
      </x:c>
      <x:c r="W222" s="20" t="str">
        <x:v>Not established from supplied source field</x:v>
      </x:c>
      <x:c r="X222" s="20" t="str">
        <x:v>Generic botanical, dietary, computational, or unspecified association</x:v>
      </x:c>
      <x:c r="Y222" s="20" t="str">
        <x:v>PMID 39870235; PMID39870235</x:v>
      </x:c>
      <x:c r="Z222" s="20" t="str">
        <x:v>Not assessed for final attribution (excluded record)</x:v>
      </x:c>
      <x:c r="AA222" s="20" t="str">
        <x:v>Row-level annotation; deduplicate by PMID for final reference-level counts</x:v>
      </x:c>
    </x:row>
    <x:row r="223">
      <x:c r="A223" s="20" t="str">
        <x:v>emodin/aloe-emodin</x:v>
      </x:c>
      <x:c r="B223" s="20" t="str">
        <x:v>Anthraquinones</x:v>
      </x:c>
      <x:c r="C223" s="20" t="str">
        <x:v>大黄</x:v>
      </x:c>
      <x:c r="D223" s="20" t="str">
        <x:v>网络药理学 + 分子对接（计算模型）</x:v>
      </x:c>
      <x:c r="E223" s="20" t="str">
        <x:v>Network/in silico</x:v>
      </x:c>
      <x:c r="F223" s="20" t="str">
        <x:v>not captured in source extraction</x:v>
      </x:c>
      <x:c r="G223" s="20" t="str">
        <x:v>氮代谢、p53 信号通路和多种癌症相关通路，以及 AGE-RAGE 信号通路、雌激素信号通路、白细胞介素-17 信号通路和甲状腺激素信号通路</x:v>
      </x:c>
      <x:c r="H223" s="20" t="str">
        <x:v>not reported</x:v>
      </x:c>
      <x:c r="I223" s="20" t="str">
        <x:v>not captured</x:v>
      </x:c>
      <x:c r="J223" s="20" t="str">
        <x:v>not reported</x:v>
      </x:c>
      <x:c r="K223" s="20" t="str">
        <x:v>not reported</x:v>
      </x:c>
      <x:c r="L223" s="20" t="str">
        <x:v>Level 4: in silico-only</x:v>
      </x:c>
      <x:c r="M223" s="20" t="str">
        <x:v>EMT/ECM/metastasis</x:v>
      </x:c>
      <x:c r="N223" s="20" t="str">
        <x:v>38518016</x:v>
      </x:c>
      <x:c r="O223" s="20" t="str">
        <x:v>PMID38518016</x:v>
      </x:c>
      <x:c r="P223" s="20" t="str">
        <x:v>beta-sitosterol\216-38518016-prediction of potential mechanisms o.pdf</x:v>
      </x:c>
      <x:c r="Q223" s="20" t="str">
        <x:v>Prediction of potential mechanisms of rhubarb therapy for colorectal cancer based on network pharmacological analysis and molecular docking.</x:v>
      </x:c>
      <x:c r="R223" s="20" t="str">
        <x:v>Included</x:v>
      </x:c>
      <x:c r="S223" s="20" t="str">
        <x:v>2024</x:v>
      </x:c>
      <x:c r="T223" s="20" t="str">
        <x:v>2024/03/22</x:v>
      </x:c>
      <x:c r="U223" s="20" t="str">
        <x:v>emodin/aloe-emodin</x:v>
      </x:c>
      <x:c r="V223" s="20" t="str">
        <x:v>大黄</x:v>
      </x:c>
      <x:c r="W223" s="20" t="str">
        <x:v>Not established from supplied source field</x:v>
      </x:c>
      <x:c r="X223" s="20" t="str">
        <x:v>Generic botanical, dietary, computational, or unspecified association</x:v>
      </x:c>
      <x:c r="Y223" s="20" t="str">
        <x:v>PMID 38518016; PMID38518016</x:v>
      </x:c>
      <x:c r="Z223" s="20" t="str">
        <x:v>Network pharmacology/in silico evidence</x:v>
      </x:c>
      <x:c r="AA223" s="20" t="str">
        <x:v>Row-level annotation; deduplicate by PMID for final reference-level counts</x:v>
      </x:c>
    </x:row>
    <x:row r="224">
      <x:c r="A224" s="20" t="str">
        <x:v>emodin/aloe-emodin</x:v>
      </x:c>
      <x:c r="B224" s="20" t="str">
        <x:v>Anthraquinones</x:v>
      </x:c>
      <x:c r="C224" s="20" t="str">
        <x:v>Lycium shawii（枸杞属植物，一种灌木）</x:v>
      </x:c>
      <x:c r="D224" s="20" t="str">
        <x:v>体外实验模型（结直肠癌细胞系：HCT116、正常乳腺上皮细胞：MCF 10A、乳腺癌细胞系：MDA-MB-231）、计算机模拟模型</x:v>
      </x:c>
      <x:c r="E224" s="20" t="str">
        <x:v>In vitro</x:v>
      </x:c>
      <x:c r="F224" s="20" t="str">
        <x:v>not captured in source extraction</x:v>
      </x:c>
      <x:c r="G224" s="20" t="str">
        <x:v>the carbonic anhydrase IX</x:v>
      </x:c>
      <x:c r="H224" s="20" t="str">
        <x:v>抗肿瘤，抗菌，选择性毒性</x:v>
      </x:c>
      <x:c r="I224" s="20" t="str">
        <x:v>not captured</x:v>
      </x:c>
      <x:c r="J224" s="20" t="str">
        <x:v>not reported</x:v>
      </x:c>
      <x:c r="K224" s="20" t="str">
        <x:v>not reported</x:v>
      </x:c>
      <x:c r="L224" s="20" t="str">
        <x:v>Level 3: cell-based mechanistic evidence</x:v>
      </x:c>
      <x:c r="M224" s="20" t="str">
        <x:v>not assigned</x:v>
      </x:c>
      <x:c r="N224" s="20" t="str">
        <x:v>35489282</x:v>
      </x:c>
      <x:c r="O224" s="20" t="str">
        <x:v>PMID35489282</x:v>
      </x:c>
      <x:c r="P224" s="20" t="str">
        <x:v>catechin\173-35489282-in silico predicting as a tool to develop source biomed pharmacother 2022 apr 27 150 113008.pdf</x:v>
      </x:c>
      <x:c r="Q224" s="20" t="str">
        <x:v>In-silico predicting as a tool to develop plant-based biomedicines and nanoparticles: Lycium shawii metabolites.</x:v>
      </x:c>
      <x:c r="R224" s="20" t="str">
        <x:v>Included</x:v>
      </x:c>
      <x:c r="S224" s="20" t="str">
        <x:v>2022</x:v>
      </x:c>
      <x:c r="T224" s="20" t="str">
        <x:v>2022/06/01</x:v>
      </x:c>
      <x:c r="U224" s="20" t="str">
        <x:v>emodin/aloe-emodin</x:v>
      </x:c>
      <x:c r="V224" s="20" t="str">
        <x:v>Lycium shawii（枸杞属植物，一种灌木）</x:v>
      </x:c>
      <x:c r="W224" s="20" t="str">
        <x:v>Not established from supplied source field</x:v>
      </x:c>
      <x:c r="X224" s="20" t="str">
        <x:v>Generic botanical, dietary, computational, or unspecified association</x:v>
      </x:c>
      <x:c r="Y224" s="20" t="str">
        <x:v>PMID 35489282; PMID35489282</x:v>
      </x:c>
      <x:c r="Z224" s="20" t="str">
        <x:v>Formulation/nanodelivery contextual evidence</x:v>
      </x:c>
      <x:c r="AA224" s="20" t="str">
        <x:v>Row-level annotation; deduplicate by PMID for final reference-level counts</x:v>
      </x:c>
    </x:row>
    <x:row r="225">
      <x:c r="A225" s="20" t="str">
        <x:v>emodin/aloe-emodin</x:v>
      </x:c>
      <x:c r="B225" s="20" t="str">
        <x:v>Anthraquinones</x:v>
      </x:c>
      <x:c r="C225" s="20" t="str">
        <x:v>西伯利亚黄蒽 （ Xanthium sibiricum Herba）</x:v>
      </x:c>
      <x:c r="D225" s="20" t="str">
        <x:v>分子对接、分子动力学模拟、细胞凋亡实验（体外）</x:v>
      </x:c>
      <x:c r="E225" s="20" t="str">
        <x:v>In vitro</x:v>
      </x:c>
      <x:c r="F225" s="20" t="str">
        <x:v>not captured in source extraction</x:v>
      </x:c>
      <x:c r="G225" s="20" t="str">
        <x:v>p53信号通路、凋亡通路、MAPK信号通路</x:v>
      </x:c>
      <x:c r="H225" s="20" t="str">
        <x:v>促进癌细胞凋亡，抑制增殖与迁移</x:v>
      </x:c>
      <x:c r="I225" s="20" t="str">
        <x:v>not captured</x:v>
      </x:c>
      <x:c r="J225" s="20" t="str">
        <x:v>not reported</x:v>
      </x:c>
      <x:c r="K225" s="20" t="str">
        <x:v>not reported</x:v>
      </x:c>
      <x:c r="L225" s="20" t="str">
        <x:v>Level 3: cell-based mechanistic evidence</x:v>
      </x:c>
      <x:c r="M225" s="20" t="str">
        <x:v>Apoptosis/cell cycle; MAPK/JNK/ERK; EMT/ECM/metastasis</x:v>
      </x:c>
      <x:c r="N225" s="20" t="str">
        <x:v>37143277</x:v>
      </x:c>
      <x:c r="O225" s="20" t="str">
        <x:v>not available</x:v>
      </x:c>
      <x:c r="P225" s="20" t="str">
        <x:v>emodin   aloe-emodin\224-37143277-a study against colon cancer mechanism of xanth source comb chem high throughput screen 2023.pdf</x:v>
      </x:c>
      <x:c r="Q225" s="20" t="str">
        <x:v>not retained - incomplete bibliographic metadata</x:v>
      </x:c>
      <x:c r="R225" s="20" t="str">
        <x:v>Excluded: incomplete bibliographic title requiring verification</x:v>
      </x:c>
      <x:c r="S225" s="20" t="str">
        <x:v>2024</x:v>
      </x:c>
      <x:c r="T225" s="20" t="str">
        <x:v>2024/01/01</x:v>
      </x:c>
      <x:c r="U225" s="20" t="str">
        <x:v>emodin/aloe-emodin</x:v>
      </x:c>
      <x:c r="V225" s="20" t="str">
        <x:v>西伯利亚黄蒽 （ Xanthium sibiricum Herba）</x:v>
      </x:c>
      <x:c r="W225" s="20" t="str">
        <x:v>Not established from supplied source field</x:v>
      </x:c>
      <x:c r="X225" s="20" t="str">
        <x:v>Generic botanical, dietary, computational, or unspecified association</x:v>
      </x:c>
      <x:c r="Y225" s="20" t="str">
        <x:v>PMID 37143277; not available</x:v>
      </x:c>
      <x:c r="Z225" s="20" t="str">
        <x:v>Not assessed for final attribution (excluded record)</x:v>
      </x:c>
      <x:c r="AA225" s="20" t="str">
        <x:v>Row-level annotation; deduplicate by PMID for final reference-level counts</x:v>
      </x:c>
    </x:row>
    <x:row r="226">
      <x:c r="A226" s="20" t="str">
        <x:v>rhein</x:v>
      </x:c>
      <x:c r="B226" s="20" t="str">
        <x:v>Anthraquinones</x:v>
      </x:c>
      <x:c r="C226" s="20" t="str">
        <x:v>药用植物中，特别是大黄</x:v>
      </x:c>
      <x:c r="D226" s="20" t="str">
        <x:v>细胞模型人结直肠癌细胞系
体内实验模型： HCT116 细胞系来源的裸鼠异种移植瘤模型</x:v>
      </x:c>
      <x:c r="E226" s="20" t="str">
        <x:v>In vitro + in vivo</x:v>
      </x:c>
      <x:c r="F226" s="20" t="str">
        <x:v>not captured in source extraction</x:v>
      </x:c>
      <x:c r="G226" s="20" t="str">
        <x:v>mTOR/p70S6K 通路；mTOR/HSF1 通路</x:v>
      </x:c>
      <x:c r="H226" s="20" t="str">
        <x:v>显著抑制结直肠癌细胞的增殖迁移和侵袭能力；诱导S期细胞周期阻滞；抑制上皮间质转化EMT过程下调</x:v>
      </x:c>
      <x:c r="I226" s="20" t="str">
        <x:v>not captured</x:v>
      </x:c>
      <x:c r="J226" s="20" t="str">
        <x:v>No obvious toxicity reported in the HCT116 xenograft experiment (PDF abstract).</x:v>
      </x:c>
      <x:c r="K226" s="20" t="str">
        <x:v>not reported</x:v>
      </x:c>
      <x:c r="L226" s="20" t="str">
        <x:v>Level 1: animal-validated mechanistic evidence</x:v>
      </x:c>
      <x:c r="M226" s="20" t="str">
        <x:v>Apoptosis/cell cycle; PI3K/Akt/mTOR/metabolism; EMT/ECM/metastasis</x:v>
      </x:c>
      <x:c r="N226" s="20" t="str">
        <x:v>33946531</x:v>
      </x:c>
      <x:c r="O226" s="20" t="str">
        <x:v>PMID33946531</x:v>
      </x:c>
      <x:c r="P226" s="20" t="str">
        <x:v>rhein\225-33946531-rhein suppresses colorectal cancer cell growth by source cancers basel 2021 apr 30 13 9 2176.pdf</x:v>
      </x:c>
      <x:c r="Q226" s="20" t="str">
        <x:v>Rhein Suppresses Colorectal Cancer Cell Growth by Inhibiting the mTOR Pathway In Vitro and In Vivo.</x:v>
      </x:c>
      <x:c r="R226" s="20" t="str">
        <x:v>Included</x:v>
      </x:c>
      <x:c r="S226" s="20" t="str">
        <x:v>2021</x:v>
      </x:c>
      <x:c r="T226" s="20" t="str">
        <x:v>2021/04/30</x:v>
      </x:c>
      <x:c r="U226" s="20" t="str">
        <x:v>rhein</x:v>
      </x:c>
      <x:c r="V226" s="20" t="str">
        <x:v>药用植物中，特别是大黄</x:v>
      </x:c>
      <x:c r="W226" s="20" t="str">
        <x:v>Not established from supplied source field</x:v>
      </x:c>
      <x:c r="X226" s="20" t="str">
        <x:v>Generic botanical, dietary, computational, or unspecified association</x:v>
      </x:c>
      <x:c r="Y226" s="20" t="str">
        <x:v>PMID 33946531; PMID33946531</x:v>
      </x:c>
      <x:c r="Z226" s="20" t="str">
        <x:v>Purified isolated compound: rhein</x:v>
      </x:c>
      <x:c r="AA226" s="20" t="str">
        <x:v>Row-level annotation; deduplicate by PMID for final reference-level counts</x:v>
      </x:c>
    </x:row>
    <x:row r="227">
      <x:c r="A227" s="20" t="str">
        <x:v>rhein</x:v>
      </x:c>
      <x:c r="B227" s="20" t="str">
        <x:v>Anthraquinones</x:v>
      </x:c>
      <x:c r="C227" s="20" t="str">
        <x:v>大黄</x:v>
      </x:c>
      <x:c r="D227" s="20" t="str">
        <x:v>纯计算模拟研究 采用网络药理学分析， Cytoscape构建成分靶点网络，蛋白蛋白相互作用 PPI 分析，基因本体与KEGG通路富集分析，分子对接</x:v>
      </x:c>
      <x:c r="E227" s="20" t="str">
        <x:v>Network/in silico</x:v>
      </x:c>
      <x:c r="F227" s="20" t="str">
        <x:v>not captured in source extraction</x:v>
      </x:c>
      <x:c r="G227" s="20" t="str">
        <x:v>p53 信号通路； AGE RAGE 信号通路； interleukin 17 信号通路 ；雌激素信号通路； 甲状腺激素信号通路 ；氮代谢 多种癌症相关通路</x:v>
      </x:c>
      <x:c r="H227" s="20" t="str">
        <x:v>p53通路 → 细胞周期凋亡；IL 17 AGE RAGE → 炎症；Cancer related pathways → 增殖 侵袭；MMP9靶点 → 迁移与侵袭</x:v>
      </x:c>
      <x:c r="I227" s="20" t="str">
        <x:v>not captured</x:v>
      </x:c>
      <x:c r="J227" s="20" t="str">
        <x:v>not reported</x:v>
      </x:c>
      <x:c r="K227" s="20" t="str">
        <x:v>not reported</x:v>
      </x:c>
      <x:c r="L227" s="20" t="str">
        <x:v>Level 4: in silico-only</x:v>
      </x:c>
      <x:c r="M227" s="20" t="str">
        <x:v>Apoptosis/cell cycle; NF-kB/STAT3/inflammation; EMT/ECM/metastasis</x:v>
      </x:c>
      <x:c r="N227" s="20" t="str">
        <x:v>38518016</x:v>
      </x:c>
      <x:c r="O227" s="20" t="str">
        <x:v>PMID38518016</x:v>
      </x:c>
      <x:c r="P227" s="20" t="str">
        <x:v>beta-sitosterol\216-38518016-prediction of potential mechanisms o.pdf</x:v>
      </x:c>
      <x:c r="Q227" s="20" t="str">
        <x:v>Prediction of potential mechanisms of rhubarb therapy for colorectal cancer based on network pharmacological analysis and molecular docking.</x:v>
      </x:c>
      <x:c r="R227" s="20" t="str">
        <x:v>Included</x:v>
      </x:c>
      <x:c r="S227" s="20" t="str">
        <x:v>2024</x:v>
      </x:c>
      <x:c r="T227" s="20" t="str">
        <x:v>2024/03/22</x:v>
      </x:c>
      <x:c r="U227" s="20" t="str">
        <x:v>rhein</x:v>
      </x:c>
      <x:c r="V227" s="20" t="str">
        <x:v>大黄</x:v>
      </x:c>
      <x:c r="W227" s="20" t="str">
        <x:v>Not established from supplied source field</x:v>
      </x:c>
      <x:c r="X227" s="20" t="str">
        <x:v>Generic botanical, dietary, computational, or unspecified association</x:v>
      </x:c>
      <x:c r="Y227" s="20" t="str">
        <x:v>PMID 38518016; PMID38518016</x:v>
      </x:c>
      <x:c r="Z227" s="20" t="str">
        <x:v>Network pharmacology/in silico evidence</x:v>
      </x:c>
      <x:c r="AA227" s="20" t="str">
        <x:v>Row-level annotation; deduplicate by PMID for final reference-level counts</x:v>
      </x:c>
    </x:row>
    <x:row r="228">
      <x:c r="A228" s="20" t="str">
        <x:v>rhein</x:v>
      </x:c>
      <x:c r="B228" s="20" t="str">
        <x:v>Anthraquinones</x:v>
      </x:c>
      <x:c r="C228" s="20" t="str">
        <x:v>大黄</x:v>
      </x:c>
      <x:c r="D228" s="20" t="str">
        <x:v>体外细胞模型
1 HT-29 人结直肠癌细胞系 批号 CL-0118
2 SW480 人结直肠癌细胞系 批号 CL-0223B</x:v>
      </x:c>
      <x:c r="E228" s="20" t="str">
        <x:v>In vitro</x:v>
      </x:c>
      <x:c r="F228" s="20" t="str">
        <x:v>Rhein 10, 20, and 50 µM in HT-29 and SW480 cells</x:v>
      </x:c>
      <x:c r="G228" s="20" t="str">
        <x:v>抑制 MYD88 / TLR4 / NF-κB 信号通路 诱导结直肠癌细胞凋亡</x:v>
      </x:c>
      <x:c r="H228" s="20" t="str">
        <x:v>1 显著抑制 HT-29 和 SW480 细胞的迁移能力 经伤口愈合实验验证
2 显著抑制细胞侵袭能力 经Transwell实验验证
3 明显提高细胞凋亡率 经TUNEL染色证实
4 下调BCL-2 蛋白和mRNA表达
5 上调BAX 和cleaved caspase-3 蛋白和mRNA表达
6 下调MYD88 TLR4 和NF-κB p65 的蛋白和mRNA表达
7 TLR4激动剂LPS可部分逆转rhein对通路的抑制作用 恢复部分细胞功能</x:v>
      </x:c>
      <x:c r="I228" s="20" t="str">
        <x:v>not captured</x:v>
      </x:c>
      <x:c r="J228" s="20" t="str">
        <x:v>not reported</x:v>
      </x:c>
      <x:c r="K228" s="20" t="str">
        <x:v>not reported</x:v>
      </x:c>
      <x:c r="L228" s="20" t="str">
        <x:v>Level 3: cell-based mechanistic evidence</x:v>
      </x:c>
      <x:c r="M228" s="20" t="str">
        <x:v>Apoptosis/cell cycle; NF-kB/STAT3/inflammation; EMT/ECM/metastasis</x:v>
      </x:c>
      <x:c r="N228" s="20" t="str">
        <x:v>40469706</x:v>
      </x:c>
      <x:c r="O228" s="20" t="str">
        <x:v>PMID40469706</x:v>
      </x:c>
      <x:c r="P228" s="20" t="str">
        <x:v>rhein\227-40469706-rhein induced apoptosis in colorecta source cytojournal so 2025.pdf</x:v>
      </x:c>
      <x:c r="Q228" s="20" t="str">
        <x:v>Rhein-induced apoptosis in colorectal cancer cell lines: A mechanistic study of the myeloid differentiation primary response gene 88/toll-like receptor 4/nuclear factor kappa-B signaling pathway.</x:v>
      </x:c>
      <x:c r="R228" s="20" t="str">
        <x:v>Included</x:v>
      </x:c>
      <x:c r="S228" s="20" t="str">
        <x:v>2025</x:v>
      </x:c>
      <x:c r="T228" s="20" t="str">
        <x:v>2025/04/01</x:v>
      </x:c>
      <x:c r="U228" s="20" t="str">
        <x:v>rhein</x:v>
      </x:c>
      <x:c r="V228" s="20" t="str">
        <x:v>大黄</x:v>
      </x:c>
      <x:c r="W228" s="20" t="str">
        <x:v>Not established from supplied source field</x:v>
      </x:c>
      <x:c r="X228" s="20" t="str">
        <x:v>Generic botanical, dietary, computational, or unspecified association</x:v>
      </x:c>
      <x:c r="Y228" s="20" t="str">
        <x:v>PMID 40469706; PMID40469706</x:v>
      </x:c>
      <x:c r="Z228" s="20" t="str">
        <x:v>Purified isolated compound: rhein</x:v>
      </x:c>
      <x:c r="AA228" s="20" t="str">
        <x:v>Row-level annotation; deduplicate by PMID for final reference-level counts</x:v>
      </x:c>
    </x:row>
    <x:row r="229">
      <x:c r="A229" s="20" t="str">
        <x:v>myricetin</x:v>
      </x:c>
      <x:c r="B229" s="20" t="str">
        <x:v>Flavonoids</x:v>
      </x:c>
      <x:c r="C229" s="20" t="str">
        <x:v>植物提取物</x:v>
      </x:c>
      <x:c r="D229" s="20" t="str">
        <x:v>人结直肠癌细胞系</x:v>
      </x:c>
      <x:c r="E229" s="20" t="str">
        <x:v>In vitro</x:v>
      </x:c>
      <x:c r="F229" s="20" t="str">
        <x:v>not captured in source extraction</x:v>
      </x:c>
      <x:c r="G229" s="20" t="str">
        <x:v>对结直肠癌中可能的细胞命运决定机制（如细胞死亡/增殖）的调节作用</x:v>
      </x:c>
      <x:c r="H229" s="20" t="str">
        <x:v>诱导癌细胞死亡、调控凋亡/增殖、形态学改变</x:v>
      </x:c>
      <x:c r="I229" s="20" t="str">
        <x:v>not captured</x:v>
      </x:c>
      <x:c r="J229" s="20" t="str">
        <x:v>not reported</x:v>
      </x:c>
      <x:c r="K229" s="20" t="str">
        <x:v>not reported</x:v>
      </x:c>
      <x:c r="L229" s="20" t="str">
        <x:v>Level 3: cell-based mechanistic evidence</x:v>
      </x:c>
      <x:c r="M229" s="20" t="str">
        <x:v>Apoptosis/cell cycle</x:v>
      </x:c>
      <x:c r="N229" s="20" t="str">
        <x:v>36232319</x:v>
      </x:c>
      <x:c r="O229" s="20" t="str">
        <x:v>PMID36232319</x:v>
      </x:c>
      <x:c r="P229" s="20" t="str">
        <x:v>myricetin\228-36232319-synthesis of silver nano particles u source int j mol sci so 2022.pdf</x:v>
      </x:c>
      <x:c r="Q229" s="20" t="str">
        <x:v>Synthesis of Silver Nano Particles Using Myricetin and the In-Vitro Assessment of Anti-Colorectal Cancer Activity: In-Silico Integration.</x:v>
      </x:c>
      <x:c r="R229" s="20" t="str">
        <x:v>Included</x:v>
      </x:c>
      <x:c r="S229" s="20" t="str">
        <x:v>2022</x:v>
      </x:c>
      <x:c r="T229" s="20" t="str">
        <x:v>2022/09/20</x:v>
      </x:c>
      <x:c r="U229" s="20" t="str">
        <x:v>myricetin</x:v>
      </x:c>
      <x:c r="V229" s="20" t="str">
        <x:v>植物提取物</x:v>
      </x:c>
      <x:c r="W229" s="20" t="str">
        <x:v>Not established from supplied source field</x:v>
      </x:c>
      <x:c r="X229" s="20" t="str">
        <x:v>Generic botanical, dietary, computational, or unspecified association</x:v>
      </x:c>
      <x:c r="Y229" s="20" t="str">
        <x:v>PMID 36232319; PMID36232319</x:v>
      </x:c>
      <x:c r="Z229" s="20" t="str">
        <x:v>Formulation/nanodelivery contextual evidence</x:v>
      </x:c>
      <x:c r="AA229" s="20" t="str">
        <x:v>Row-level annotation; deduplicate by PMID for final reference-level counts</x:v>
      </x:c>
    </x:row>
    <x:row r="230">
      <x:c r="A230" s="20" t="str">
        <x:v>myricetin</x:v>
      </x:c>
      <x:c r="B230" s="20" t="str">
        <x:v>Flavonoids</x:v>
      </x:c>
      <x:c r="C230" s="20" t="str">
        <x:v>西兰花、番茄、樱桃、蓝莓、果皮、浆果、茶和红酒</x:v>
      </x:c>
      <x:c r="D230" s="20" t="str">
        <x:v>HT-29 细胞、Caco-2、SW480、COLO 205、VACO-235 和 T84</x:v>
      </x:c>
      <x:c r="E230" s="20" t="str">
        <x:v>In vitro</x:v>
      </x:c>
      <x:c r="F230" s="20" t="str">
        <x:v>not captured in source extraction</x:v>
      </x:c>
      <x:c r="G230" s="20" t="str">
        <x:v>抑制EGFR、抑制MMP-2、调节apopain、线粒体凋亡通路、增强抗氧化系统（GPx/GSH/catalase）、抑制脂质过氧化</x:v>
      </x:c>
      <x:c r="H230" s="20" t="str">
        <x:v>抑制增殖、诱导凋亡、抗转移、减少肿瘤数、延缓疾病进展、增强抗氧化能力</x:v>
      </x:c>
      <x:c r="I230" s="20" t="str">
        <x:v>not captured</x:v>
      </x:c>
      <x:c r="J230" s="20" t="str">
        <x:v>not reported</x:v>
      </x:c>
      <x:c r="K230" s="20" t="str">
        <x:v>not reported</x:v>
      </x:c>
      <x:c r="L230" s="20" t="str">
        <x:v>Level 3: cell-based mechanistic evidence</x:v>
      </x:c>
      <x:c r="M230" s="20" t="str">
        <x:v>Apoptosis/cell cycle; ROS/ferroptosis; EMT/ECM/metastasis</x:v>
      </x:c>
      <x:c r="N230" s="20" t="str">
        <x:v>38948535</x:v>
      </x:c>
      <x:c r="O230" s="20" t="str">
        <x:v>PMID38948535</x:v>
      </x:c>
      <x:c r="P230" s="20" t="str">
        <x:v>isorhamnetin\198-38948535-Targeting colorectal cancer using di Source Cancer Innov SO 2023.pdf</x:v>
      </x:c>
      <x:c r="Q230" s="20" t="str">
        <x:v>Targeting colorectal cancer using dietary flavonols.</x:v>
      </x:c>
      <x:c r="R230" s="20" t="str">
        <x:v>Included</x:v>
      </x:c>
      <x:c r="S230" s="20" t="str">
        <x:v>2023</x:v>
      </x:c>
      <x:c r="T230" s="20" t="str">
        <x:v>2023/11/28</x:v>
      </x:c>
      <x:c r="U230" s="20" t="str">
        <x:v>myricetin</x:v>
      </x:c>
      <x:c r="V230" s="20" t="str">
        <x:v>西兰花、番茄、樱桃、蓝莓、果皮、浆果、茶和红酒</x:v>
      </x:c>
      <x:c r="W230" s="20" t="str">
        <x:v>Not established from supplied source field</x:v>
      </x:c>
      <x:c r="X230" s="20" t="str">
        <x:v>Generic botanical, dietary, computational, or unspecified association</x:v>
      </x:c>
      <x:c r="Y230" s="20" t="str">
        <x:v>PMID 38948535; PMID38948535</x:v>
      </x:c>
      <x:c r="Z230" s="20" t="str">
        <x:v>Extract/formula/decoction contextual evidence</x:v>
      </x:c>
      <x:c r="AA230" s="20" t="str">
        <x:v>Row-level annotation; deduplicate by PMID for final reference-level counts</x:v>
      </x:c>
    </x:row>
    <x:row r="231">
      <x:c r="A231" s="20" t="str">
        <x:v>myricetin</x:v>
      </x:c>
      <x:c r="B231" s="20" t="str">
        <x:v>Flavonoids</x:v>
      </x:c>
      <x:c r="C231" s="20" t="str">
        <x:v>蔬菜、水果、浆果、茶、葡萄酒和核桃</x:v>
      </x:c>
      <x:c r="D231" s="20" t="str">
        <x:v>HT-29 人结直肠癌细胞（体外模型）</x:v>
      </x:c>
      <x:c r="E231" s="20" t="str">
        <x:v>In vitro</x:v>
      </x:c>
      <x:c r="F231" s="20" t="str">
        <x:v>not captured in source extraction</x:v>
      </x:c>
      <x:c r="G231" s="20" t="str">
        <x:v>线粒体功能障碍引发的内源性凋亡通路</x:v>
      </x:c>
      <x:c r="H231" s="20" t="str">
        <x:v>凋亡增加、ROS升高、MMP下降、克隆形成减少、细胞存活率降低</x:v>
      </x:c>
      <x:c r="I231" s="20" t="str">
        <x:v>not captured</x:v>
      </x:c>
      <x:c r="J231" s="20" t="str">
        <x:v>not reported</x:v>
      </x:c>
      <x:c r="K231" s="20" t="str">
        <x:v>not reported</x:v>
      </x:c>
      <x:c r="L231" s="20" t="str">
        <x:v>Level 3: cell-based mechanistic evidence</x:v>
      </x:c>
      <x:c r="M231" s="20" t="str">
        <x:v>Apoptosis/cell cycle; ROS/ferroptosis; EMT/ECM/metastasis</x:v>
      </x:c>
      <x:c r="N231" s="20" t="str">
        <x:v>35767106</x:v>
      </x:c>
      <x:c r="O231" s="20" t="str">
        <x:v>PMID35767106</x:v>
      </x:c>
      <x:c r="P231" s="20" t="str">
        <x:v>myricetin\230-35767106-myricetin loaded in solid lipid nano source mol biol rep so 2022.pdf</x:v>
      </x:c>
      <x:c r="Q231" s="20" t="str">
        <x:v>Myricetin loaded in solid lipid nanoparticles induces apoptosis in the HT-29 colorectal cancer cells via mitochondrial dysfunction.</x:v>
      </x:c>
      <x:c r="R231" s="20" t="str">
        <x:v>Included</x:v>
      </x:c>
      <x:c r="S231" s="20" t="str">
        <x:v>2022</x:v>
      </x:c>
      <x:c r="T231" s="20" t="str">
        <x:v>2022/09/01</x:v>
      </x:c>
      <x:c r="U231" s="20" t="str">
        <x:v>myricetin</x:v>
      </x:c>
      <x:c r="V231" s="20" t="str">
        <x:v>蔬菜、水果、浆果、茶、葡萄酒和核桃</x:v>
      </x:c>
      <x:c r="W231" s="20" t="str">
        <x:v>Not established from supplied source field</x:v>
      </x:c>
      <x:c r="X231" s="20" t="str">
        <x:v>Generic botanical, dietary, computational, or unspecified association</x:v>
      </x:c>
      <x:c r="Y231" s="20" t="str">
        <x:v>PMID 35767106; PMID35767106</x:v>
      </x:c>
      <x:c r="Z231" s="20" t="str">
        <x:v>Formulation/nanodelivery contextual evidence</x:v>
      </x:c>
      <x:c r="AA231" s="20" t="str">
        <x:v>Row-level annotation; deduplicate by PMID for final reference-level counts</x:v>
      </x:c>
    </x:row>
    <x:row r="232">
      <x:c r="A232" s="20" t="str">
        <x:v>myricetin</x:v>
      </x:c>
      <x:c r="B232" s="20" t="str">
        <x:v>Flavonoids</x:v>
      </x:c>
      <x:c r="C232" s="20" t="str">
        <x:v>籼稻叶片</x:v>
      </x:c>
      <x:c r="D232" s="20" t="str">
        <x:v>HT-29 人结直肠癌细胞系（体外）</x:v>
      </x:c>
      <x:c r="E232" s="20" t="str">
        <x:v>In vitro</x:v>
      </x:c>
      <x:c r="F232" s="20" t="str">
        <x:v>not captured in source extraction</x:v>
      </x:c>
      <x:c r="G232" s="20" t="str">
        <x:v>not reported</x:v>
      </x:c>
      <x:c r="H232" s="20" t="str">
        <x:v>细胞毒性（抑制癌细胞增殖）</x:v>
      </x:c>
      <x:c r="I232" s="20" t="str">
        <x:v>not captured</x:v>
      </x:c>
      <x:c r="J232" s="20" t="str">
        <x:v>not reported</x:v>
      </x:c>
      <x:c r="K232" s="20" t="str">
        <x:v>not reported</x:v>
      </x:c>
      <x:c r="L232" s="20" t="str">
        <x:v>Contextual mixture/formulation evidence</x:v>
      </x:c>
      <x:c r="M232" s="20" t="str">
        <x:v>not assigned</x:v>
      </x:c>
      <x:c r="N232" s="20" t="str">
        <x:v>38041881</x:v>
      </x:c>
      <x:c r="O232" s="20" t="str">
        <x:v>PMID38041881</x:v>
      </x:c>
      <x:c r="P232" s="20" t="str">
        <x:v>Kaempferol\74-38041881-optimization of pluchea indica l source ultrason sonochem so 2023.pdf</x:v>
      </x:c>
      <x:c r="Q232" s="20" t="str">
        <x:v>Optimization of Pluchea indica (L.) leaf extract using ultrasound-assisted extraction and its cytotoxicity on the HT-29 colorectal cancer cell line.</x:v>
      </x:c>
      <x:c r="R232" s="20" t="str">
        <x:v>Included</x:v>
      </x:c>
      <x:c r="S232" s="20" t="str">
        <x:v>2023</x:v>
      </x:c>
      <x:c r="T232" s="20" t="str">
        <x:v>2023/12/01</x:v>
      </x:c>
      <x:c r="U232" s="20" t="str">
        <x:v>myricetin</x:v>
      </x:c>
      <x:c r="V232" s="20" t="str">
        <x:v>籼稻叶片</x:v>
      </x:c>
      <x:c r="W232" s="20" t="str">
        <x:v>Not established from supplied source field</x:v>
      </x:c>
      <x:c r="X232" s="20" t="str">
        <x:v>Generic botanical, dietary, computational, or unspecified association</x:v>
      </x:c>
      <x:c r="Y232" s="20" t="str">
        <x:v>PMID 38041881; PMID38041881</x:v>
      </x:c>
      <x:c r="Z232" s="20" t="str">
        <x:v>Extract/formula/decoction contextual evidence</x:v>
      </x:c>
      <x:c r="AA232" s="20" t="str">
        <x:v>Row-level annotation; deduplicate by PMID for final reference-level counts</x:v>
      </x:c>
    </x:row>
    <x:row r="233">
      <x:c r="A233" s="20" t="str">
        <x:v>myricetin</x:v>
      </x:c>
      <x:c r="B233" s="20" t="str">
        <x:v>Flavonoids</x:v>
      </x:c>
      <x:c r="C233" s="20" t="str">
        <x:v>杨梅果实</x:v>
      </x:c>
      <x:c r="D233" s="20" t="str">
        <x:v>CRC 细胞系及动物模型</x:v>
      </x:c>
      <x:c r="E233" s="20" t="str">
        <x:v>In vitro + in vivo</x:v>
      </x:c>
      <x:c r="F233" s="20" t="str">
        <x:v>not captured in source extraction</x:v>
      </x:c>
      <x:c r="G233" s="20" t="str">
        <x:v>Wnt/β-catenin 信号通路</x:v>
      </x:c>
      <x:c r="H233" s="20" t="str">
        <x:v>抑制增殖、侵袭、转移，克服耐药</x:v>
      </x:c>
      <x:c r="I233" s="20" t="str">
        <x:v>not captured</x:v>
      </x:c>
      <x:c r="J233" s="20" t="str">
        <x:v>not reported</x:v>
      </x:c>
      <x:c r="K233" s="20" t="str">
        <x:v>not reported</x:v>
      </x:c>
      <x:c r="L233" s="20" t="str">
        <x:v>Level 1: animal-validated mechanistic evidence</x:v>
      </x:c>
      <x:c r="M233" s="20" t="str">
        <x:v>Wnt/beta-catenin/stemness; EMT/ECM/metastasis</x:v>
      </x:c>
      <x:c r="N233" s="20" t="str">
        <x:v>40308773</x:v>
      </x:c>
      <x:c r="O233" s="20" t="str">
        <x:v>PMID40308773</x:v>
      </x:c>
      <x:c r="P233" s="20" t="str">
        <x:v>myricetin\232-40308773-the wnt catenin signaling pathway source front pharmacol so 2025.pdf</x:v>
      </x:c>
      <x:c r="Q233" s="20" t="str">
        <x:v>The Wnt/beta-catenin signaling pathway in colorectal cancer: mechanism and intervention of traditional Chinese medicine and chemical compound.</x:v>
      </x:c>
      <x:c r="R233" s="20" t="str">
        <x:v>Included</x:v>
      </x:c>
      <x:c r="S233" s="20" t="str">
        <x:v>2025</x:v>
      </x:c>
      <x:c r="T233" s="20" t="str">
        <x:v>2025/04/10</x:v>
      </x:c>
      <x:c r="U233" s="20" t="str">
        <x:v>myricetin</x:v>
      </x:c>
      <x:c r="V233" s="20" t="str">
        <x:v>杨梅果实</x:v>
      </x:c>
      <x:c r="W233" s="20" t="str">
        <x:v>Not established from supplied source field</x:v>
      </x:c>
      <x:c r="X233" s="20" t="str">
        <x:v>Generic botanical, dietary, computational, or unspecified association</x:v>
      </x:c>
      <x:c r="Y233" s="20" t="str">
        <x:v>PMID 40308773; PMID40308773</x:v>
      </x:c>
      <x:c r="Z233" s="20" t="str">
        <x:v>Review/background evidence</x:v>
      </x:c>
      <x:c r="AA233" s="20" t="str">
        <x:v>Row-level annotation; deduplicate by PMID for final reference-level counts</x:v>
      </x:c>
    </x:row>
    <x:row r="234">
      <x:c r="A234" s="20" t="str">
        <x:v>amygdalin</x:v>
      </x:c>
      <x:c r="B234" s="20" t="str">
        <x:v>Cyanogenic glycosides</x:v>
      </x:c>
      <x:c r="C234" s="20" t="str">
        <x:v>水果的果核和果肉（如杏仁、苹果籽等）</x:v>
      </x:c>
      <x:c r="D234" s="20" t="str">
        <x:v>体外细胞实验为主；少量动物实验</x:v>
      </x:c>
      <x:c r="E234" s="20" t="str">
        <x:v>In vitro + in vivo</x:v>
      </x:c>
      <x:c r="F234" s="20" t="str">
        <x:v>not captured in source extraction</x:v>
      </x:c>
      <x:c r="G234" s="20" t="str">
        <x:v>凋亡诱导、增殖抑制、转移抑制</x:v>
      </x:c>
      <x:c r="H234" s="20" t="str">
        <x:v>诱导凋亡、抑制增殖、抑制转移</x:v>
      </x:c>
      <x:c r="I234" s="20" t="str">
        <x:v>not captured</x:v>
      </x:c>
      <x:c r="J234" s="20" t="str">
        <x:v>not reported</x:v>
      </x:c>
      <x:c r="K234" s="20" t="str">
        <x:v>not reported</x:v>
      </x:c>
      <x:c r="L234" s="20" t="str">
        <x:v>Contextual review-only</x:v>
      </x:c>
      <x:c r="M234" s="20" t="str">
        <x:v>Apoptosis/cell cycle; EMT/ECM/metastasis</x:v>
      </x:c>
      <x:c r="N234" s="20" t="str">
        <x:v>37762572</x:v>
      </x:c>
      <x:c r="O234" s="20" t="str">
        <x:v>PMID37762572</x:v>
      </x:c>
      <x:c r="P234" s="20" t="str">
        <x:v>amygdalin\233-37762572-amygdalin as a promising anticancer.pdf</x:v>
      </x:c>
      <x:c r="Q234" s="20" t="str">
        <x:v>Amygdalin as a Promising Anticancer Agent: Molecular Mechanisms and Future Perspectives for the Development of New Nanoformulations for Its Delivery.</x:v>
      </x:c>
      <x:c r="R234" s="20" t="str">
        <x:v>Excluded: no CRC-specific model or outcome extracted</x:v>
      </x:c>
      <x:c r="S234" s="20" t="str">
        <x:v>2023</x:v>
      </x:c>
      <x:c r="T234" s="20" t="str">
        <x:v>2023/09/19</x:v>
      </x:c>
      <x:c r="U234" s="20" t="str">
        <x:v>amygdalin</x:v>
      </x:c>
      <x:c r="V234" s="20" t="str">
        <x:v>水果的果核和果肉（如杏仁、苹果籽等）</x:v>
      </x:c>
      <x:c r="W234" s="20" t="str">
        <x:v>Not established from supplied source field</x:v>
      </x:c>
      <x:c r="X234" s="20" t="str">
        <x:v>Generic botanical, dietary, computational, or unspecified association</x:v>
      </x:c>
      <x:c r="Y234" s="20" t="str">
        <x:v>PMID 37762572; PMID37762572</x:v>
      </x:c>
      <x:c r="Z234" s="20" t="str">
        <x:v>Not assessed for final attribution (excluded record)</x:v>
      </x:c>
      <x:c r="AA234" s="20" t="str">
        <x:v>Row-level annotation; deduplicate by PMID for final reference-level counts</x:v>
      </x:c>
    </x:row>
    <x:row r="235">
      <x:c r="A235" s="20" t="str">
        <x:v>amygdalin</x:v>
      </x:c>
      <x:c r="B235" s="20" t="str">
        <x:v>Cyanogenic glycosides</x:v>
      </x:c>
      <x:c r="C235" s="20" t="str">
        <x:v>保加利亚苦杏仁提取物</x:v>
      </x:c>
      <x:c r="D235" s="20" t="str">
        <x:v>酵母（S. cerevisiae）+ 哺乳动物细胞（HepG2, HT-29, BJ 等）</x:v>
      </x:c>
      <x:c r="E235" s="20" t="str">
        <x:v>In vitro + in vivo</x:v>
      </x:c>
      <x:c r="F235" s="20" t="str">
        <x:v>not captured in source extraction</x:v>
      </x:c>
      <x:c r="G235" s="20" t="str">
        <x:v>not reported</x:v>
      </x:c>
      <x:c r="H235" s="20" t="str">
        <x:v>抗突变、抗重组、抗遗传毒性、选择性细胞毒性</x:v>
      </x:c>
      <x:c r="I235" s="20" t="str">
        <x:v>not captured</x:v>
      </x:c>
      <x:c r="J235" s="20" t="str">
        <x:v>not reported</x:v>
      </x:c>
      <x:c r="K235" s="20" t="str">
        <x:v>not reported</x:v>
      </x:c>
      <x:c r="L235" s="20" t="str">
        <x:v>Contextual mixture/formulation evidence</x:v>
      </x:c>
      <x:c r="M235" s="20" t="str">
        <x:v>not assigned</x:v>
      </x:c>
      <x:c r="N235" s="20" t="str">
        <x:v>34146630</x:v>
      </x:c>
      <x:c r="O235" s="20" t="str">
        <x:v>PMID34146630</x:v>
      </x:c>
      <x:c r="P235" s="20" t="str">
        <x:v>amygdalin\34146630-phytochemical characterization and b source b j ethnopharmacol b 2021 jun 16 114333 doi 10 1016 j jep 2021 114333 online ahead of print].pdf</x:v>
      </x:c>
      <x:c r="Q235" s="20" t="str">
        <x:v>Phytochemical characterization and biological activity of apricot kernels' extract in yeast-cell based tests and hepatocellular and colorectal carcinoma cell lines.</x:v>
      </x:c>
      <x:c r="R235" s="20" t="str">
        <x:v>Included</x:v>
      </x:c>
      <x:c r="S235" s="20" t="str">
        <x:v>2021</x:v>
      </x:c>
      <x:c r="T235" s="20" t="str">
        <x:v>2021/10/28</x:v>
      </x:c>
      <x:c r="U235" s="20" t="str">
        <x:v>amygdalin</x:v>
      </x:c>
      <x:c r="V235" s="20" t="str">
        <x:v>保加利亚苦杏仁提取物</x:v>
      </x:c>
      <x:c r="W235" s="20" t="str">
        <x:v>Not established from supplied source field</x:v>
      </x:c>
      <x:c r="X235" s="20" t="str">
        <x:v>Generic botanical, dietary, computational, or unspecified association</x:v>
      </x:c>
      <x:c r="Y235" s="20" t="str">
        <x:v>PMID 34146630; PMID34146630</x:v>
      </x:c>
      <x:c r="Z235" s="20" t="str">
        <x:v>Extract/formula/decoction contextual evidence</x:v>
      </x:c>
      <x:c r="AA235" s="20" t="str">
        <x:v>Row-level annotation; deduplicate by PMID for final reference-level counts</x:v>
      </x:c>
    </x:row>
    <x:row r="236">
      <x:c r="A236" s="20" t="str">
        <x:v>amygdalin</x:v>
      </x:c>
      <x:c r="B236" s="20" t="str">
        <x:v>Cyanogenic glycosides</x:v>
      </x:c>
      <x:c r="C236" s="20" t="str">
        <x:v>杏仁</x:v>
      </x:c>
      <x:c r="D236" s="20" t="str">
        <x:v>LoVo、HT29（结直肠癌）、Hep3B（肝癌）细胞系，体外模型</x:v>
      </x:c>
      <x:c r="E236" s="20" t="str">
        <x:v>In vitro</x:v>
      </x:c>
      <x:c r="F236" s="20" t="str">
        <x:v>0.06–0.09 mg/mL</x:v>
      </x:c>
      <x:c r="G236" s="20" t="str">
        <x:v>PPAR-γ 表达调控介导的抗肿瘤效应</x:v>
      </x:c>
      <x:c r="H236" s="20" t="str">
        <x:v>抑制增殖（GI50: 0.06–0.09 mg/mL）、细胞周期阻滞、抑制迁移</x:v>
      </x:c>
      <x:c r="I236" s="20" t="str">
        <x:v>not captured</x:v>
      </x:c>
      <x:c r="J236" s="20" t="str">
        <x:v>not reported</x:v>
      </x:c>
      <x:c r="K236" s="20" t="str">
        <x:v>not reported</x:v>
      </x:c>
      <x:c r="L236" s="20" t="str">
        <x:v>Level 3: cell-based mechanistic evidence</x:v>
      </x:c>
      <x:c r="M236" s="20" t="str">
        <x:v>Apoptosis/cell cycle; EMT/ECM/metastasis</x:v>
      </x:c>
      <x:c r="N236" s="20" t="str">
        <x:v>41009803</x:v>
      </x:c>
      <x:c r="O236" s="20" t="str">
        <x:v>PMID41009803</x:v>
      </x:c>
      <x:c r="P236" s="20" t="str">
        <x:v>amygdalin\235-41009803-preparation of a micronutrient enric so 2025.pdf</x:v>
      </x:c>
      <x:c r="Q236" s="20" t="str">
        <x:v>Preparation of a Micronutrient-Enriched Apricot Kernel Oil and Assessment of In Vitro Chemopreventive Properties.</x:v>
      </x:c>
      <x:c r="R236" s="20" t="str">
        <x:v>Included</x:v>
      </x:c>
      <x:c r="S236" s="20" t="str">
        <x:v>2025</x:v>
      </x:c>
      <x:c r="T236" s="20" t="str">
        <x:v>2025/09/22</x:v>
      </x:c>
      <x:c r="U236" s="20" t="str">
        <x:v>amygdalin</x:v>
      </x:c>
      <x:c r="V236" s="20" t="str">
        <x:v>杏仁</x:v>
      </x:c>
      <x:c r="W236" s="20" t="str">
        <x:v>Not established from supplied source field</x:v>
      </x:c>
      <x:c r="X236" s="20" t="str">
        <x:v>Generic botanical, dietary, computational, or unspecified association</x:v>
      </x:c>
      <x:c r="Y236" s="20" t="str">
        <x:v>PMID 41009803; PMID41009803</x:v>
      </x:c>
      <x:c r="Z236" s="20" t="str">
        <x:v>Extract/formula/decoction contextual evidence</x:v>
      </x:c>
      <x:c r="AA236" s="20" t="str">
        <x:v>Row-level annotation; deduplicate by PMID for final reference-level counts</x:v>
      </x:c>
    </x:row>
    <x:row r="237">
      <x:c r="A237" s="20" t="str">
        <x:v>oroxylin A</x:v>
      </x:c>
      <x:c r="B237" s="20" t="str">
        <x:v>Other natural products</x:v>
      </x:c>
      <x:c r="C237" s="20" t="str">
        <x:v>黄芩根</x:v>
      </x:c>
      <x:c r="D237" s="20" t="str">
        <x:v>体外：HCT116 细胞（缺氧条件）
体内：异种移植瘤模型 + 高脂饮食诱导原发癌模型</x:v>
      </x:c>
      <x:c r="E237" s="20" t="str">
        <x:v>In vitro + in vivo</x:v>
      </x:c>
      <x:c r="F237" s="20" t="str">
        <x:v>not captured in source extraction</x:v>
      </x:c>
      <x:c r="G237" s="20" t="str">
        <x:v>HIF1α-脂肪酸代谢通路；Wnt/β-catenin 通路</x:v>
      </x:c>
      <x:c r="H237" s="20" t="str">
        <x:v>抑制脂肪酸合成、增强氧化、降低脂质水平、抑制Wnt、G2/M阻滞、抑制肿瘤发生与发展</x:v>
      </x:c>
      <x:c r="I237" s="20" t="str">
        <x:v>not captured</x:v>
      </x:c>
      <x:c r="J237" s="20" t="str">
        <x:v>not reported</x:v>
      </x:c>
      <x:c r="K237" s="20" t="str">
        <x:v>not reported</x:v>
      </x:c>
      <x:c r="L237" s="20" t="str">
        <x:v>Level 1: animal-validated mechanistic evidence</x:v>
      </x:c>
      <x:c r="M237" s="20" t="str">
        <x:v>Wnt/beta-catenin/stemness; ROS/ferroptosis</x:v>
      </x:c>
      <x:c r="N237" s="20" t="str">
        <x:v>28594405</x:v>
      </x:c>
      <x:c r="O237" s="20" t="str">
        <x:v>PMID28594405</x:v>
      </x:c>
      <x:c r="P237" s="20" t="str">
        <x:v>not matched</x:v>
      </x:c>
      <x:c r="Q237" s="20" t="str">
        <x:v>Oroxylin A suppresses the development and growth of colorectal cancer through reprogram of HIF1alpha-modulated fatty acid metabolism.</x:v>
      </x:c>
      <x:c r="R237" s="20" t="str">
        <x:v>Excluded: no local PDF matched</x:v>
      </x:c>
      <x:c r="S237" s="20" t="str">
        <x:v>2017</x:v>
      </x:c>
      <x:c r="T237" s="20" t="str">
        <x:v>2017/06/08</x:v>
      </x:c>
      <x:c r="U237" s="20" t="str">
        <x:v>oroxylin A</x:v>
      </x:c>
      <x:c r="V237" s="20" t="str">
        <x:v>黄芩根</x:v>
      </x:c>
      <x:c r="W237" s="20" t="str">
        <x:v>Not established from supplied source field</x:v>
      </x:c>
      <x:c r="X237" s="20" t="str">
        <x:v>Generic botanical, dietary, computational, or unspecified association</x:v>
      </x:c>
      <x:c r="Y237" s="20" t="str">
        <x:v>PMID 28594405; PMID28594405</x:v>
      </x:c>
      <x:c r="Z237" s="20" t="str">
        <x:v>Not assessed for final attribution (excluded record)</x:v>
      </x:c>
      <x:c r="AA237" s="20" t="str">
        <x:v>Row-level annotation; deduplicate by PMID for final reference-level counts</x:v>
      </x:c>
    </x:row>
    <x:row r="238">
      <x:c r="A238" s="20" t="str">
        <x:v>oroxylin A</x:v>
      </x:c>
      <x:c r="B238" s="20" t="str">
        <x:v>Other natural products</x:v>
      </x:c>
      <x:c r="C238" s="20" t="str">
        <x:v>not reported</x:v>
      </x:c>
      <x:c r="D238" s="20" t="str">
        <x:v>体外：人结直肠癌细胞；体内：异种移植模型</x:v>
      </x:c>
      <x:c r="E238" s="20" t="str">
        <x:v>In vitro + in vivo</x:v>
      </x:c>
      <x:c r="F238" s="20" t="str">
        <x:v>not captured in source extraction</x:v>
      </x:c>
      <x:c r="G238" s="20" t="str">
        <x:v>抑制 TGF-β/SMAD 信号通路</x:v>
      </x:c>
      <x:c r="H238" s="20" t="str">
        <x:v>抑制增殖、迁移、侵袭；抑制EMT；促进凋亡；抑制肿瘤生长</x:v>
      </x:c>
      <x:c r="I238" s="20" t="str">
        <x:v>not captured</x:v>
      </x:c>
      <x:c r="J238" s="20" t="str">
        <x:v>not reported</x:v>
      </x:c>
      <x:c r="K238" s="20" t="str">
        <x:v>not reported</x:v>
      </x:c>
      <x:c r="L238" s="20" t="str">
        <x:v>Level 1: animal-validated mechanistic evidence</x:v>
      </x:c>
      <x:c r="M238" s="20" t="str">
        <x:v>Apoptosis/cell cycle; EMT/ECM/metastasis</x:v>
      </x:c>
      <x:c r="N238" s="20" t="str">
        <x:v>39406881</x:v>
      </x:c>
      <x:c r="O238" s="20" t="str">
        <x:v>PMID39406881</x:v>
      </x:c>
      <x:c r="P238" s="20" t="str">
        <x:v>not matched</x:v>
      </x:c>
      <x:c r="Q238" s="20" t="str">
        <x:v>Oroxylin A suppressed colorectal cancer metastasis by inhibiting the activation of the TGF-beta/SMAD signal pathway.</x:v>
      </x:c>
      <x:c r="R238" s="20" t="str">
        <x:v>Excluded: no local PDF matched</x:v>
      </x:c>
      <x:c r="S238" s="20" t="str">
        <x:v>2024</x:v>
      </x:c>
      <x:c r="T238" s="20" t="str">
        <x:v>2024/10/15</x:v>
      </x:c>
      <x:c r="U238" s="20" t="str">
        <x:v>oroxylin A</x:v>
      </x:c>
      <x:c r="V238" s="20" t="str">
        <x:v>not reported</x:v>
      </x:c>
      <x:c r="W238" s="20" t="str">
        <x:v>Not established from supplied source field</x:v>
      </x:c>
      <x:c r="X238" s="20" t="str">
        <x:v>Generic botanical, dietary, computational, or unspecified association</x:v>
      </x:c>
      <x:c r="Y238" s="20" t="str">
        <x:v>PMID 39406881; PMID39406881</x:v>
      </x:c>
      <x:c r="Z238" s="20" t="str">
        <x:v>Not assessed for final attribution (excluded record)</x:v>
      </x:c>
      <x:c r="AA238" s="20" t="str">
        <x:v>Row-level annotation; deduplicate by PMID for final reference-level counts</x:v>
      </x:c>
    </x:row>
    <x:row r="239">
      <x:c r="A239" s="20" t="str">
        <x:v>caffeic acid</x:v>
      </x:c>
      <x:c r="B239" s="20" t="str">
        <x:v>Phenolic acids</x:v>
      </x:c>
      <x:c r="C239" s="20" t="str">
        <x:v>羟基肉桂酸</x:v>
      </x:c>
      <x:c r="D239" s="20" t="str">
        <x:v>人结直肠癌 HT-29 细胞系</x:v>
      </x:c>
      <x:c r="E239" s="20" t="str">
        <x:v>In vitro</x:v>
      </x:c>
      <x:c r="F239" s="20" t="str">
        <x:v>not captured in source extraction</x:v>
      </x:c>
      <x:c r="G239" s="20" t="str">
        <x:v>通过极化巨噬细胞向 M1 型表型转化，促进其分泌促炎细胞因子（如 TNF-α、IL-1β），进而激活 HT-29 细胞中的 Bax/Bcl-2 凋亡通路，诱导癌细胞凋亡。</x:v>
      </x:c>
      <x:c r="H239" s="20" t="str">
        <x:v>1 显著降低 HT-29 结直肠癌细胞的存活率（P &lt; 0.05）
2 上调促凋亡基因 Bax 的 mRNA 表达
3 下调抗凋亡基因 Bcl-2 的 mRNA 表达</x:v>
      </x:c>
      <x:c r="I239" s="20" t="str">
        <x:v>not captured</x:v>
      </x:c>
      <x:c r="J239" s="20" t="str">
        <x:v>not reported</x:v>
      </x:c>
      <x:c r="K239" s="20" t="str">
        <x:v>not reported</x:v>
      </x:c>
      <x:c r="L239" s="20" t="str">
        <x:v>Level 3: cell-based mechanistic evidence</x:v>
      </x:c>
      <x:c r="M239" s="20" t="str">
        <x:v>Apoptosis/cell cycle; Immune microenvironment</x:v>
      </x:c>
      <x:c r="N239" s="20" t="str">
        <x:v>40627904</x:v>
      </x:c>
      <x:c r="O239" s="20" t="str">
        <x:v>PMID40627904</x:v>
      </x:c>
      <x:c r="P239" s="20" t="str">
        <x:v>caffeic acid\238-40627904-caffeic acid and 5 caffeoylquinic ac source bioorg chem so 2025.pdf</x:v>
      </x:c>
      <x:c r="Q239" s="20" t="str">
        <x:v>Caffeic acid and 5-caffeoylquinic acid inhibit HT-29 colorectal cancer cell growth through immunotherapy by inducing the Bax/Bcl-2 apoptotic pathway in vitro.</x:v>
      </x:c>
      <x:c r="R239" s="20" t="str">
        <x:v>Included</x:v>
      </x:c>
      <x:c r="S239" s="20" t="str">
        <x:v>2025</x:v>
      </x:c>
      <x:c r="T239" s="20" t="str">
        <x:v>2025/08/01</x:v>
      </x:c>
      <x:c r="U239" s="20" t="str">
        <x:v>caffeic acid</x:v>
      </x:c>
      <x:c r="V239" s="20" t="str">
        <x:v>羟基肉桂酸</x:v>
      </x:c>
      <x:c r="W239" s="20" t="str">
        <x:v>Not established from supplied source field</x:v>
      </x:c>
      <x:c r="X239" s="20" t="str">
        <x:v>Generic botanical, dietary, computational, or unspecified association</x:v>
      </x:c>
      <x:c r="Y239" s="20" t="str">
        <x:v>PMID 40627904; PMID40627904</x:v>
      </x:c>
      <x:c r="Z239" s="20" t="str">
        <x:v>Purified isolated compound: caffeic acid</x:v>
      </x:c>
      <x:c r="AA239" s="20" t="str">
        <x:v>Row-level annotation; deduplicate by PMID for final reference-level counts</x:v>
      </x:c>
    </x:row>
    <x:row r="240">
      <x:c r="A240" s="20" t="str">
        <x:v>caffeic acid</x:v>
      </x:c>
      <x:c r="B240" s="20" t="str">
        <x:v>Phenolic acids</x:v>
      </x:c>
      <x:c r="C240" s="20" t="str">
        <x:v>羟基肉桂酸</x:v>
      </x:c>
      <x:c r="D240" s="20" t="str">
        <x:v>细胞模型：
U118MG：人胶质母细胞瘤细胞系
DLD-1：人结直肠腺癌细胞系</x:v>
      </x:c>
      <x:c r="E240" s="20" t="str">
        <x:v>In vitro</x:v>
      </x:c>
      <x:c r="F240" s="20" t="str">
        <x:v>not captured in source extraction</x:v>
      </x:c>
      <x:c r="G240" s="20" t="str">
        <x:v>细胞膜本身：癌细胞膜（U118MG 和 DLD-1）
、生物模拟脂质膜</x:v>
      </x:c>
      <x:c r="H240" s="20" t="str">
        <x:v>1 CA能与癌细胞膜发生物理结合 改变其表面电荷（通过电泳光散射检测）
2 CA可调节脂质双分子层的电容降低和电阻升高 表明其嵌入膜结构并影响膜流动性与通透性</x:v>
      </x:c>
      <x:c r="I240" s="20" t="str">
        <x:v>not captured</x:v>
      </x:c>
      <x:c r="J240" s="20" t="str">
        <x:v>not reported</x:v>
      </x:c>
      <x:c r="K240" s="20" t="str">
        <x:v>not reported</x:v>
      </x:c>
      <x:c r="L240" s="20" t="str">
        <x:v>Level 3: cell-based mechanistic evidence</x:v>
      </x:c>
      <x:c r="M240" s="20" t="str">
        <x:v>not assigned</x:v>
      </x:c>
      <x:c r="N240" s="20" t="str">
        <x:v>35256690</x:v>
      </x:c>
      <x:c r="O240" s="20" t="str">
        <x:v>PMID35256690</x:v>
      </x:c>
      <x:c r="P240" s="20" t="str">
        <x:v>caffeic acid\239-35256690-the influence of the ph on the incor source sci rep so 2022 mar 7 12 1 3692.pdf</x:v>
      </x:c>
      <x:c r="Q240" s="20" t="str">
        <x:v>The influence of the pH on the incorporation of caffeic acid into biomimetic membranes and cancer cells.</x:v>
      </x:c>
      <x:c r="R240" s="20" t="str">
        <x:v>Included</x:v>
      </x:c>
      <x:c r="S240" s="20" t="str">
        <x:v>2022</x:v>
      </x:c>
      <x:c r="T240" s="20" t="str">
        <x:v>2022/03/07</x:v>
      </x:c>
      <x:c r="U240" s="20" t="str">
        <x:v>caffeic acid</x:v>
      </x:c>
      <x:c r="V240" s="20" t="str">
        <x:v>羟基肉桂酸</x:v>
      </x:c>
      <x:c r="W240" s="20" t="str">
        <x:v>Not established from supplied source field</x:v>
      </x:c>
      <x:c r="X240" s="20" t="str">
        <x:v>Generic botanical, dietary, computational, or unspecified association</x:v>
      </x:c>
      <x:c r="Y240" s="20" t="str">
        <x:v>PMID 35256690; PMID35256690</x:v>
      </x:c>
      <x:c r="Z240" s="20" t="str">
        <x:v>Purified isolated compound: caffeic acid</x:v>
      </x:c>
      <x:c r="AA240" s="20" t="str">
        <x:v>Row-level annotation; deduplicate by PMID for final reference-level counts</x:v>
      </x:c>
    </x:row>
    <x:row r="241">
      <x:c r="A241" s="20" t="str">
        <x:v>caffeic acid</x:v>
      </x:c>
      <x:c r="B241" s="20" t="str">
        <x:v>Phenolic acids</x:v>
      </x:c>
      <x:c r="C241" s="20" t="str">
        <x:v>咖啡</x:v>
      </x:c>
      <x:c r="D241" s="20" t="str">
        <x:v>来自 HCT-116 细胞系的 CSC</x:v>
      </x:c>
      <x:c r="E241" s="20" t="str">
        <x:v>In vitro</x:v>
      </x:c>
      <x:c r="F241" s="20" t="str">
        <x:v>not captured in source extraction</x:v>
      </x:c>
      <x:c r="G241" s="20" t="str">
        <x:v>PI3K/Akt/mTOR 信号通路。</x:v>
      </x:c>
      <x:c r="H241" s="20" t="str">
        <x:v>↓自我更新、Stemlike 特性和迁移↓耐辐射性↓PI3K/Akt 信号</x:v>
      </x:c>
      <x:c r="I241" s="20" t="str">
        <x:v>not captured</x:v>
      </x:c>
      <x:c r="J241" s="20" t="str">
        <x:v>not reported</x:v>
      </x:c>
      <x:c r="K241" s="20" t="str">
        <x:v>not reported</x:v>
      </x:c>
      <x:c r="L241" s="20" t="str">
        <x:v>Level 3: cell-based mechanistic evidence</x:v>
      </x:c>
      <x:c r="M241" s="20" t="str">
        <x:v>PI3K/Akt/mTOR/metabolism; Wnt/beta-catenin/stemness; EMT/ECM/metastasis</x:v>
      </x:c>
      <x:c r="N241" s="20" t="str">
        <x:v>36375238</x:v>
      </x:c>
      <x:c r="O241" s="20" t="str">
        <x:v>PMID36375238</x:v>
      </x:c>
      <x:c r="P241" s="20" t="str">
        <x:v>caffeic acid\240-36375238-targeting cancer stem cells and sign source phytomedicine so 2023.pdf</x:v>
      </x:c>
      <x:c r="Q241" s="20" t="str">
        <x:v>Targeting cancer stem cells and signalling pathways through phytochemicals: A promising approach against colorectal cancer.</x:v>
      </x:c>
      <x:c r="R241" s="20" t="str">
        <x:v>Included</x:v>
      </x:c>
      <x:c r="S241" s="20" t="str">
        <x:v>2023</x:v>
      </x:c>
      <x:c r="T241" s="20" t="str">
        <x:v>2023/01/01</x:v>
      </x:c>
      <x:c r="U241" s="20" t="str">
        <x:v>caffeic acid</x:v>
      </x:c>
      <x:c r="V241" s="20" t="str">
        <x:v>咖啡</x:v>
      </x:c>
      <x:c r="W241" s="20" t="str">
        <x:v>Not established from supplied source field</x:v>
      </x:c>
      <x:c r="X241" s="20" t="str">
        <x:v>Generic botanical, dietary, computational, or unspecified association</x:v>
      </x:c>
      <x:c r="Y241" s="20" t="str">
        <x:v>PMID 36375238; PMID36375238</x:v>
      </x:c>
      <x:c r="Z241" s="20" t="str">
        <x:v>Review/background evidence</x:v>
      </x:c>
      <x:c r="AA241" s="20" t="str">
        <x:v>Row-level annotation; deduplicate by PMID for final reference-level counts</x:v>
      </x:c>
    </x:row>
    <x:row r="242">
      <x:c r="A242" s="20" t="str">
        <x:v>caffeic acid</x:v>
      </x:c>
      <x:c r="B242" s="20" t="str">
        <x:v>Phenolic acids</x:v>
      </x:c>
      <x:c r="C242" s="20" t="str">
        <x:v>茶、咖啡、蜂胶、水果和蔬菜</x:v>
      </x:c>
      <x:c r="D242" s="20" t="str">
        <x:v>人结肠癌细胞系 HCT116</x:v>
      </x:c>
      <x:c r="E242" s="20" t="str">
        <x:v>In vitro</x:v>
      </x:c>
      <x:c r="F242" s="20" t="str">
        <x:v>not captured in source extraction</x:v>
      </x:c>
      <x:c r="G242" s="20" t="str">
        <x:v>PI3K/Akt 信号通路
；ERK1/2 信号通路</x:v>
      </x:c>
      <x:c r="H242" s="20" t="str">
        <x:v>抑制酸适应型HCT116细胞的增殖能力；
抑制其克隆形成能力（即长期存活与扩增潜能）；
单独使用时可诱导凋亡，但更显著的是增强化疗药物（奥沙利铂、5-FU）诱导的凋亡；
逆转由酸性微环境引起的化疗耐药性。</x:v>
      </x:c>
      <x:c r="I242" s="20" t="str">
        <x:v>not captured</x:v>
      </x:c>
      <x:c r="J242" s="20" t="str">
        <x:v>not reported</x:v>
      </x:c>
      <x:c r="K242" s="20" t="str">
        <x:v>not reported</x:v>
      </x:c>
      <x:c r="L242" s="20" t="str">
        <x:v>Level 3: cell-based mechanistic evidence</x:v>
      </x:c>
      <x:c r="M242" s="20" t="str">
        <x:v>Apoptosis/cell cycle; PI3K/Akt/mTOR/metabolism; MAPK/JNK/ERK</x:v>
      </x:c>
      <x:c r="N242" s="20" t="str">
        <x:v>38821580</x:v>
      </x:c>
      <x:c r="O242" s="20" t="str">
        <x:v>PMID38821580</x:v>
      </x:c>
      <x:c r="P242" s="20" t="str">
        <x:v>caffeic acid\241-38821580-caffeic acid enhances anticancer drug induced source anticancer res 2024 jun 44 6 2587 2595.pdf</x:v>
      </x:c>
      <x:c r="Q242" s="20" t="str">
        <x:v>Caffeic Acid Enhances Anticancer Drug-induced Apoptosis in Acid-adapted HCT116 Colon Cancer Cells.</x:v>
      </x:c>
      <x:c r="R242" s="20" t="str">
        <x:v>Included</x:v>
      </x:c>
      <x:c r="S242" s="20" t="str">
        <x:v>2024</x:v>
      </x:c>
      <x:c r="T242" s="20" t="str">
        <x:v>2024/06/01</x:v>
      </x:c>
      <x:c r="U242" s="20" t="str">
        <x:v>caffeic acid</x:v>
      </x:c>
      <x:c r="V242" s="20" t="str">
        <x:v>茶、咖啡、蜂胶、水果和蔬菜</x:v>
      </x:c>
      <x:c r="W242" s="20" t="str">
        <x:v>Not established from supplied source field</x:v>
      </x:c>
      <x:c r="X242" s="20" t="str">
        <x:v>Generic botanical, dietary, computational, or unspecified association</x:v>
      </x:c>
      <x:c r="Y242" s="20" t="str">
        <x:v>PMID 38821580; PMID38821580</x:v>
      </x:c>
      <x:c r="Z242" s="20" t="str">
        <x:v>Purified isolated compound: caffeic acid</x:v>
      </x:c>
      <x:c r="AA242" s="20" t="str">
        <x:v>Row-level annotation; deduplicate by PMID for final reference-level counts</x:v>
      </x:c>
    </x:row>
    <x:row r="243">
      <x:c r="A243" s="20" t="str">
        <x:v>caffeic acid</x:v>
      </x:c>
      <x:c r="B243" s="20" t="str">
        <x:v>Phenolic acids</x:v>
      </x:c>
      <x:c r="C243" s="20" t="str">
        <x:v>Echinacea purpurea</x:v>
      </x:c>
      <x:c r="D243" s="20" t="str">
        <x:v>体外实验</x:v>
      </x:c>
      <x:c r="E243" s="20" t="str">
        <x:v>In vitro</x:v>
      </x:c>
      <x:c r="F243" s="20" t="str">
        <x:v>not captured in source extraction</x:v>
      </x:c>
      <x:c r="G243" s="20" t="str">
        <x:v>not reported</x:v>
      </x:c>
      <x:c r="H243" s="20" t="str">
        <x:v>抗癌特性</x:v>
      </x:c>
      <x:c r="I243" s="20" t="str">
        <x:v>not captured</x:v>
      </x:c>
      <x:c r="J243" s="20" t="str">
        <x:v>not reported</x:v>
      </x:c>
      <x:c r="K243" s="20" t="str">
        <x:v>not reported</x:v>
      </x:c>
      <x:c r="L243" s="20" t="str">
        <x:v>Level 3: cell-based mechanistic evidence</x:v>
      </x:c>
      <x:c r="M243" s="20" t="str">
        <x:v>not assigned</x:v>
      </x:c>
      <x:c r="N243" s="20" t="str">
        <x:v>40149916</x:v>
      </x:c>
      <x:c r="O243" s="20" t="str">
        <x:v>PMID40149916</x:v>
      </x:c>
      <x:c r="P243" s="20" t="str">
        <x:v>Astragaloside IV\291-40149916-interplay between traditional and sc source biomolecules so 2025.pdf</x:v>
      </x:c>
      <x:c r="Q243" s="20" t="str">
        <x:v>Interplay Between Traditional and Scientific Knowledge: Phytoconstituents and Their Roles in Lung and Colorectal Cancer Signaling Pathways.</x:v>
      </x:c>
      <x:c r="R243" s="20" t="str">
        <x:v>Included</x:v>
      </x:c>
      <x:c r="S243" s="20" t="str">
        <x:v>2025</x:v>
      </x:c>
      <x:c r="T243" s="20" t="str">
        <x:v>2025/03/05</x:v>
      </x:c>
      <x:c r="U243" s="20" t="str">
        <x:v>caffeic acid</x:v>
      </x:c>
      <x:c r="V243" s="20" t="str">
        <x:v>Echinacea purpurea</x:v>
      </x:c>
      <x:c r="W243" s="20" t="str">
        <x:v>Not established from supplied source field</x:v>
      </x:c>
      <x:c r="X243" s="20" t="str">
        <x:v>Generic botanical, dietary, computational, or unspecified association</x:v>
      </x:c>
      <x:c r="Y243" s="20" t="str">
        <x:v>PMID 40149916; PMID40149916</x:v>
      </x:c>
      <x:c r="Z243" s="20" t="str">
        <x:v>Review/background evidence</x:v>
      </x:c>
      <x:c r="AA243" s="20" t="str">
        <x:v>Row-level annotation; deduplicate by PMID for final reference-level counts</x:v>
      </x:c>
    </x:row>
    <x:row r="244">
      <x:c r="A244" s="20" t="str">
        <x:v>caffeic acid</x:v>
      </x:c>
      <x:c r="B244" s="20" t="str">
        <x:v>Phenolic acids</x:v>
      </x:c>
      <x:c r="C244" s="20" t="str">
        <x:v>咖啡</x:v>
      </x:c>
      <x:c r="D244" s="20" t="str">
        <x:v>CD44+/CD133+ 结直肠癌干细胞</x:v>
      </x:c>
      <x:c r="E244" s="20" t="str">
        <x:v>In vitro</x:v>
      </x:c>
      <x:c r="F244" s="20" t="str">
        <x:v>not captured in source extraction</x:v>
      </x:c>
      <x:c r="G244" s="20" t="str">
        <x:v>PI3K/Akt 信号轴</x:v>
      </x:c>
      <x:c r="H244" s="20" t="str">
        <x:v>抑制自我更新、干性、迁移、成瘤性、放疗抵抗</x:v>
      </x:c>
      <x:c r="I244" s="20" t="str">
        <x:v>not captured</x:v>
      </x:c>
      <x:c r="J244" s="20" t="str">
        <x:v>not reported</x:v>
      </x:c>
      <x:c r="K244" s="20" t="str">
        <x:v>not reported</x:v>
      </x:c>
      <x:c r="L244" s="20" t="str">
        <x:v>Level 3: cell-based mechanistic evidence</x:v>
      </x:c>
      <x:c r="M244" s="20" t="str">
        <x:v>PI3K/Akt/mTOR/metabolism; Wnt/beta-catenin/stemness; EMT/ECM/metastasis</x:v>
      </x:c>
      <x:c r="N244" s="20" t="str">
        <x:v>33425893</x:v>
      </x:c>
      <x:c r="O244" s="20" t="str">
        <x:v>PMID33425893</x:v>
      </x:c>
      <x:c r="P244" s="20" t="str">
        <x:v>caffeic acid\33425893-a novel therapeutic approach for col source front cell dev biol so 2020 8 585987.pdf</x:v>
      </x:c>
      <x:c r="Q244" s="20" t="str">
        <x:v>A Novel Therapeutic Approach for Colorectal Cancer Stem Cells: Blocking the PI3K/Akt Signaling Axis With Caffeic Acid.</x:v>
      </x:c>
      <x:c r="R244" s="20" t="str">
        <x:v>Included</x:v>
      </x:c>
      <x:c r="S244" s="20" t="str">
        <x:v>2020</x:v>
      </x:c>
      <x:c r="T244" s="20" t="str">
        <x:v>2020/12/23</x:v>
      </x:c>
      <x:c r="U244" s="20" t="str">
        <x:v>caffeic acid</x:v>
      </x:c>
      <x:c r="V244" s="20" t="str">
        <x:v>咖啡</x:v>
      </x:c>
      <x:c r="W244" s="20" t="str">
        <x:v>Not established from supplied source field</x:v>
      </x:c>
      <x:c r="X244" s="20" t="str">
        <x:v>Generic botanical, dietary, computational, or unspecified association</x:v>
      </x:c>
      <x:c r="Y244" s="20" t="str">
        <x:v>PMID 33425893; PMID33425893</x:v>
      </x:c>
      <x:c r="Z244" s="20" t="str">
        <x:v>Purified isolated compound: caffeic acid</x:v>
      </x:c>
      <x:c r="AA244" s="20" t="str">
        <x:v>Row-level annotation; deduplicate by PMID for final reference-level counts</x:v>
      </x:c>
    </x:row>
    <x:row r="245">
      <x:c r="A245" s="20" t="str">
        <x:v>chrysophanol</x:v>
      </x:c>
      <x:c r="B245" s="20" t="str">
        <x:v>Anthraquinones</x:v>
      </x:c>
      <x:c r="C245" s="20" t="str">
        <x:v>天然</x:v>
      </x:c>
      <x:c r="D245" s="20" t="str">
        <x:v>体外细胞实验；分子对接模拟</x:v>
      </x:c>
      <x:c r="E245" s="20" t="str">
        <x:v>In vitro</x:v>
      </x:c>
      <x:c r="F245" s="20" t="str">
        <x:v>not captured in source extraction</x:v>
      </x:c>
      <x:c r="G245" s="20" t="str">
        <x:v>KITENIN/ErbB4 信号通路
有氧糖酵解通路
自噬降解通路</x:v>
      </x:c>
      <x:c r="H245" s="20" t="str">
        <x:v>破坏复合物、降解KITENIN、抑制运动性、抑制糖酵解、减少致癌代谢物</x:v>
      </x:c>
      <x:c r="I245" s="20" t="str">
        <x:v>not captured</x:v>
      </x:c>
      <x:c r="J245" s="20" t="str">
        <x:v>not reported</x:v>
      </x:c>
      <x:c r="K245" s="20" t="str">
        <x:v>not reported</x:v>
      </x:c>
      <x:c r="L245" s="20" t="str">
        <x:v>Level 3: cell-based mechanistic evidence</x:v>
      </x:c>
      <x:c r="M245" s="20" t="str">
        <x:v>PI3K/Akt/mTOR/metabolism</x:v>
      </x:c>
      <x:c r="N245" s="20" t="str">
        <x:v>39030594</x:v>
      </x:c>
      <x:c r="O245" s="20" t="str">
        <x:v>PMID39030594</x:v>
      </x:c>
      <x:c r="P245" s="20" t="str">
        <x:v>chrysophanol\244-39030594-chrysophanol inhibits of colorectal source cancer cell int so 2024.pdf</x:v>
      </x:c>
      <x:c r="Q245" s="20" t="str">
        <x:v>Chrysophanol inhibits of colorectal cancer cell motility and energy metabolism by targeting the KITENIN/ErbB4 oncogenic complex.</x:v>
      </x:c>
      <x:c r="R245" s="20" t="str">
        <x:v>Included</x:v>
      </x:c>
      <x:c r="S245" s="20" t="str">
        <x:v>2024</x:v>
      </x:c>
      <x:c r="T245" s="20" t="str">
        <x:v>2024/07/20</x:v>
      </x:c>
      <x:c r="U245" s="20" t="str">
        <x:v>chrysophanol</x:v>
      </x:c>
      <x:c r="V245" s="20" t="str">
        <x:v>天然</x:v>
      </x:c>
      <x:c r="W245" s="20" t="str">
        <x:v>Not established from supplied source field</x:v>
      </x:c>
      <x:c r="X245" s="20" t="str">
        <x:v>Generic botanical, dietary, computational, or unspecified association</x:v>
      </x:c>
      <x:c r="Y245" s="20" t="str">
        <x:v>PMID 39030594; PMID39030594</x:v>
      </x:c>
      <x:c r="Z245" s="20" t="str">
        <x:v>Purified isolated compound: chrysophanol</x:v>
      </x:c>
      <x:c r="AA245" s="20" t="str">
        <x:v>Row-level annotation; deduplicate by PMID for final reference-level counts</x:v>
      </x:c>
    </x:row>
    <x:row r="246">
      <x:c r="A246" s="20" t="str">
        <x:v>chrysophanol</x:v>
      </x:c>
      <x:c r="B246" s="20" t="str">
        <x:v>Anthraquinones</x:v>
      </x:c>
      <x:c r="C246" s="20" t="str">
        <x:v>食品、保健品、传统药物</x:v>
      </x:c>
      <x:c r="D246" s="20" t="str">
        <x:v>In silico（分子对接 + ADME/Tox）、In vitro（HCT-116, HeLa 细胞）</x:v>
      </x:c>
      <x:c r="E246" s="20" t="str">
        <x:v>In vitro</x:v>
      </x:c>
      <x:c r="F246" s="20" t="str">
        <x:v>not captured in source extraction</x:v>
      </x:c>
      <x:c r="G246" s="20" t="str">
        <x:v>caspase-3, Bcl-2, TRAF2, TNIK, CDK2</x:v>
      </x:c>
      <x:c r="H246" s="20" t="str">
        <x:v>抗癌活性</x:v>
      </x:c>
      <x:c r="I246" s="20" t="str">
        <x:v>not captured</x:v>
      </x:c>
      <x:c r="J246" s="20" t="str">
        <x:v>not reported</x:v>
      </x:c>
      <x:c r="K246" s="20" t="str">
        <x:v>not reported</x:v>
      </x:c>
      <x:c r="L246" s="20" t="str">
        <x:v>Level 3: cell-based mechanistic evidence</x:v>
      </x:c>
      <x:c r="M246" s="20" t="str">
        <x:v>Apoptosis/cell cycle</x:v>
      </x:c>
      <x:c r="N246" s="20" t="str">
        <x:v>36355520</x:v>
      </x:c>
      <x:c r="O246" s="20" t="str">
        <x:v>PMID36355520</x:v>
      </x:c>
      <x:c r="P246" s="20" t="str">
        <x:v>chrysophanol\36355520-in vitro molecular docking and in s source pharmaceuticals basel so 2022.pdf</x:v>
      </x:c>
      <x:c r="Q246" s="20" t="str">
        <x:v>In Vitro, Molecular Docking and In Silico ADME/Tox Studies of Emodin and Chrysophanol against Human Colorectal and Cervical Carcinoma.</x:v>
      </x:c>
      <x:c r="R246" s="20" t="str">
        <x:v>Included</x:v>
      </x:c>
      <x:c r="S246" s="20" t="str">
        <x:v>2022</x:v>
      </x:c>
      <x:c r="T246" s="20" t="str">
        <x:v>2022/10/31</x:v>
      </x:c>
      <x:c r="U246" s="20" t="str">
        <x:v>chrysophanol</x:v>
      </x:c>
      <x:c r="V246" s="20" t="str">
        <x:v>食品、保健品、传统药物</x:v>
      </x:c>
      <x:c r="W246" s="20" t="str">
        <x:v>Not established from supplied source field</x:v>
      </x:c>
      <x:c r="X246" s="20" t="str">
        <x:v>Generic botanical, dietary, computational, or unspecified association</x:v>
      </x:c>
      <x:c r="Y246" s="20" t="str">
        <x:v>PMID 36355520; PMID36355520</x:v>
      </x:c>
      <x:c r="Z246" s="20" t="str">
        <x:v>Purified isolated compound: chrysophanol</x:v>
      </x:c>
      <x:c r="AA246" s="20" t="str">
        <x:v>Row-level annotation; deduplicate by PMID for final reference-level counts</x:v>
      </x:c>
    </x:row>
    <x:row r="247">
      <x:c r="A247" s="20" t="str">
        <x:v>ellagic acid</x:v>
      </x:c>
      <x:c r="B247" s="20" t="str">
        <x:v>Polyphenols</x:v>
      </x:c>
      <x:c r="C247" s="20" t="str">
        <x:v>植物</x:v>
      </x:c>
      <x:c r="D247" s="20" t="str">
        <x:v>IBD细菌分离株、Caco-2/COLO.205/HT-29细胞、IEC-6细胞</x:v>
      </x:c>
      <x:c r="E247" s="20" t="str">
        <x:v>In vitro</x:v>
      </x:c>
      <x:c r="F247" s="20" t="str">
        <x:v>not captured in source extraction</x:v>
      </x:c>
      <x:c r="G247" s="20" t="str">
        <x:v>not reported</x:v>
      </x:c>
      <x:c r="H247" s="20" t="str">
        <x:v>抑菌、杀菌、浓度依赖性细胞毒性</x:v>
      </x:c>
      <x:c r="I247" s="20" t="str">
        <x:v>not captured</x:v>
      </x:c>
      <x:c r="J247" s="20" t="str">
        <x:v>not reported</x:v>
      </x:c>
      <x:c r="K247" s="20" t="str">
        <x:v>not reported</x:v>
      </x:c>
      <x:c r="L247" s="20" t="str">
        <x:v>Level 3: cell-based mechanistic evidence</x:v>
      </x:c>
      <x:c r="M247" s="20" t="str">
        <x:v>not assigned</x:v>
      </x:c>
      <x:c r="N247" s="20" t="str">
        <x:v>35968644</x:v>
      </x:c>
      <x:c r="O247" s="20" t="str">
        <x:v>PMID35968644</x:v>
      </x:c>
      <x:c r="P247" s="20" t="str">
        <x:v>ellagic acid\246-35968644-antibacterial potential of ellagic a source nat prod res so 2022.pdf</x:v>
      </x:c>
      <x:c r="Q247" s="20" t="str">
        <x:v>Antibacterial potential of ellagic acid and gallic acid against IBD bacterial isolates and cytotoxicity against colorectal cancer.</x:v>
      </x:c>
      <x:c r="R247" s="20" t="str">
        <x:v>Included</x:v>
      </x:c>
      <x:c r="S247" s="20" t="str">
        <x:v>2023</x:v>
      </x:c>
      <x:c r="T247" s="20" t="str">
        <x:v>2023/06/01</x:v>
      </x:c>
      <x:c r="U247" s="20" t="str">
        <x:v>ellagic acid</x:v>
      </x:c>
      <x:c r="V247" s="20" t="str">
        <x:v>植物</x:v>
      </x:c>
      <x:c r="W247" s="20" t="str">
        <x:v>Not established from supplied source field</x:v>
      </x:c>
      <x:c r="X247" s="20" t="str">
        <x:v>Generic botanical, dietary, computational, or unspecified association</x:v>
      </x:c>
      <x:c r="Y247" s="20" t="str">
        <x:v>PMID 35968644; PMID35968644</x:v>
      </x:c>
      <x:c r="Z247" s="20" t="str">
        <x:v>Purified isolated compound: ellagic acid</x:v>
      </x:c>
      <x:c r="AA247" s="20" t="str">
        <x:v>Row-level annotation; deduplicate by PMID for final reference-level counts</x:v>
      </x:c>
    </x:row>
    <x:row r="248">
      <x:c r="A248" s="20" t="str">
        <x:v>ellagic acid</x:v>
      </x:c>
      <x:c r="B248" s="20" t="str">
        <x:v>Polyphenols</x:v>
      </x:c>
      <x:c r="C248" s="20" t="str">
        <x:v>植物化学物</x:v>
      </x:c>
      <x:c r="D248" s="20" t="str">
        <x:v>DMH诱导的小鼠结直肠癌模型</x:v>
      </x:c>
      <x:c r="E248" s="20" t="str">
        <x:v>In vivo</x:v>
      </x:c>
      <x:c r="F248" s="20" t="str">
        <x:v>not captured in source extraction</x:v>
      </x:c>
      <x:c r="G248" s="20" t="str">
        <x:v>调节细胞膜动态与完整性，非经典信号通路</x:v>
      </x:c>
      <x:c r="H248" s="20" t="str">
        <x:v>改善结肠上皮结构、恢复膜稳定性、减轻顺铂毒性</x:v>
      </x:c>
      <x:c r="I248" s="20" t="str">
        <x:v>yes</x:v>
      </x:c>
      <x:c r="J248" s="20" t="str">
        <x:v>not reported</x:v>
      </x:c>
      <x:c r="K248" s="20" t="str">
        <x:v>not reported</x:v>
      </x:c>
      <x:c r="L248" s="20" t="str">
        <x:v>Level 2: in vivo evidence</x:v>
      </x:c>
      <x:c r="M248" s="20" t="str">
        <x:v>not assigned</x:v>
      </x:c>
      <x:c r="N248" s="20" t="str">
        <x:v>35990576</x:v>
      </x:c>
      <x:c r="O248" s="20" t="str">
        <x:v>PMID35990576</x:v>
      </x:c>
      <x:c r="P248" s="20" t="str">
        <x:v>ellagic acid\247-35990576-ellagic acid modulates cisplatin tox source biochem biophys rep so 2022.pdf</x:v>
      </x:c>
      <x:c r="Q248" s="20" t="str">
        <x:v>Ellagic acid modulates cisplatin toxicity in DMH induced colorectal cancer: Studies on membrane alterations.</x:v>
      </x:c>
      <x:c r="R248" s="20" t="str">
        <x:v>Included</x:v>
      </x:c>
      <x:c r="S248" s="20" t="str">
        <x:v>2022</x:v>
      </x:c>
      <x:c r="T248" s="20" t="str">
        <x:v>2022/08/05</x:v>
      </x:c>
      <x:c r="U248" s="20" t="str">
        <x:v>ellagic acid</x:v>
      </x:c>
      <x:c r="V248" s="20" t="str">
        <x:v>植物化学物</x:v>
      </x:c>
      <x:c r="W248" s="20" t="str">
        <x:v>Not established from supplied source field</x:v>
      </x:c>
      <x:c r="X248" s="20" t="str">
        <x:v>Generic botanical, dietary, computational, or unspecified association</x:v>
      </x:c>
      <x:c r="Y248" s="20" t="str">
        <x:v>PMID 35990576; PMID35990576</x:v>
      </x:c>
      <x:c r="Z248" s="20" t="str">
        <x:v>Purified isolated compound: ellagic acid</x:v>
      </x:c>
      <x:c r="AA248" s="20" t="str">
        <x:v>Row-level annotation; deduplicate by PMID for final reference-level counts</x:v>
      </x:c>
    </x:row>
    <x:row r="249">
      <x:c r="A249" s="20" t="str">
        <x:v>ellagic acid</x:v>
      </x:c>
      <x:c r="B249" s="20" t="str">
        <x:v>Polyphenols</x:v>
      </x:c>
      <x:c r="C249" s="20" t="str">
        <x:v>水果和食物</x:v>
      </x:c>
      <x:c r="D249" s="20" t="str">
        <x:v>人结肠癌细胞 HCT116</x:v>
      </x:c>
      <x:c r="E249" s="20" t="str">
        <x:v>In vitro</x:v>
      </x:c>
      <x:c r="F249" s="20" t="str">
        <x:v>not captured in source extraction</x:v>
      </x:c>
      <x:c r="G249" s="20" t="str">
        <x:v>AMPK/mTOR 通路</x:v>
      </x:c>
      <x:c r="H249" s="20" t="str">
        <x:v>抑制增殖、诱导凋亡、诱导保护性自噬</x:v>
      </x:c>
      <x:c r="I249" s="20" t="str">
        <x:v>not captured</x:v>
      </x:c>
      <x:c r="J249" s="20" t="str">
        <x:v>not reported</x:v>
      </x:c>
      <x:c r="K249" s="20" t="str">
        <x:v>not reported</x:v>
      </x:c>
      <x:c r="L249" s="20" t="str">
        <x:v>Level 3: cell-based mechanistic evidence</x:v>
      </x:c>
      <x:c r="M249" s="20" t="str">
        <x:v>Apoptosis/cell cycle; PI3K/Akt/mTOR/metabolism</x:v>
      </x:c>
      <x:c r="N249" s="20" t="str">
        <x:v>36701898</x:v>
      </x:c>
      <x:c r="O249" s="20" t="str">
        <x:v>PMID36701898</x:v>
      </x:c>
      <x:c r="P249" s="20" t="str">
        <x:v>ellagic acid\248-36701898-ellagic acid induces apoptosis and a source tissue cell so 2023.pdf</x:v>
      </x:c>
      <x:c r="Q249" s="20" t="str">
        <x:v>Ellagic acid induces apoptosis and autophagy in colon cancer through the AMPK/mTOR pathway.</x:v>
      </x:c>
      <x:c r="R249" s="20" t="str">
        <x:v>Included</x:v>
      </x:c>
      <x:c r="S249" s="20" t="str">
        <x:v>2023</x:v>
      </x:c>
      <x:c r="T249" s="20" t="str">
        <x:v>2023/04/01</x:v>
      </x:c>
      <x:c r="U249" s="20" t="str">
        <x:v>ellagic acid</x:v>
      </x:c>
      <x:c r="V249" s="20" t="str">
        <x:v>水果和食物</x:v>
      </x:c>
      <x:c r="W249" s="20" t="str">
        <x:v>Not established from supplied source field</x:v>
      </x:c>
      <x:c r="X249" s="20" t="str">
        <x:v>Generic botanical, dietary, computational, or unspecified association</x:v>
      </x:c>
      <x:c r="Y249" s="20" t="str">
        <x:v>PMID 36701898; PMID36701898</x:v>
      </x:c>
      <x:c r="Z249" s="20" t="str">
        <x:v>Purified isolated compound: ellagic acid</x:v>
      </x:c>
      <x:c r="AA249" s="20" t="str">
        <x:v>Row-level annotation; deduplicate by PMID for final reference-level counts</x:v>
      </x:c>
    </x:row>
    <x:row r="250">
      <x:c r="A250" s="20" t="str">
        <x:v>ellagic acid</x:v>
      </x:c>
      <x:c r="B250" s="20" t="str">
        <x:v>Polyphenols</x:v>
      </x:c>
      <x:c r="C250" s="20" t="str">
        <x:v>石榴、核桃、多种浆果</x:v>
      </x:c>
      <x:c r="D250" s="20" t="str">
        <x:v>小鼠（体内吸收）、SW480/SW620/HCT116/HT-29细胞（体外毒性）</x:v>
      </x:c>
      <x:c r="E250" s="20" t="str">
        <x:v>In vitro + in vivo</x:v>
      </x:c>
      <x:c r="F250" s="20" t="str">
        <x:v>not captured in source extraction</x:v>
      </x:c>
      <x:c r="G250" s="20" t="str">
        <x:v>not reported</x:v>
      </x:c>
      <x:c r="H250" s="20" t="str">
        <x:v>吸收差、转化率低、促进癌细胞增殖</x:v>
      </x:c>
      <x:c r="I250" s="20" t="str">
        <x:v>not captured</x:v>
      </x:c>
      <x:c r="J250" s="20" t="str">
        <x:v>not reported</x:v>
      </x:c>
      <x:c r="K250" s="20" t="str">
        <x:v>not reported</x:v>
      </x:c>
      <x:c r="L250" s="20" t="str">
        <x:v>Level 1: animal-validated mechanistic evidence</x:v>
      </x:c>
      <x:c r="M250" s="20" t="str">
        <x:v>not assigned</x:v>
      </x:c>
      <x:c r="N250" s="20" t="str">
        <x:v>37706115</x:v>
      </x:c>
      <x:c r="O250" s="20" t="str">
        <x:v>PMID37706115</x:v>
      </x:c>
      <x:c r="P250" s="20" t="str">
        <x:v>ellagic acid\247-37706115-absorption and metabolism of urolith source evid based complement alternat med so 2023.pdf</x:v>
      </x:c>
      <x:c r="Q250" s="20" t="str">
        <x:v>Absorption and Metabolism of Urolithin A and Ellagic Acid in Mice and Their Cytotoxicity in Human Colorectal Cancer Cells.</x:v>
      </x:c>
      <x:c r="R250" s="20" t="str">
        <x:v>Included</x:v>
      </x:c>
      <x:c r="S250" s="20" t="str">
        <x:v>2023</x:v>
      </x:c>
      <x:c r="T250" s="20" t="str">
        <x:v>2023/09/05</x:v>
      </x:c>
      <x:c r="U250" s="20" t="str">
        <x:v>ellagic acid</x:v>
      </x:c>
      <x:c r="V250" s="20" t="str">
        <x:v>石榴、核桃、多种浆果</x:v>
      </x:c>
      <x:c r="W250" s="20" t="str">
        <x:v>Not established from supplied source field</x:v>
      </x:c>
      <x:c r="X250" s="20" t="str">
        <x:v>Generic botanical, dietary, computational, or unspecified association</x:v>
      </x:c>
      <x:c r="Y250" s="20" t="str">
        <x:v>PMID 37706115; PMID37706115</x:v>
      </x:c>
      <x:c r="Z250" s="20" t="str">
        <x:v>Purified isolated compound: ellagic acid</x:v>
      </x:c>
      <x:c r="AA250" s="20" t="str">
        <x:v>Row-level annotation; deduplicate by PMID for final reference-level counts</x:v>
      </x:c>
    </x:row>
    <x:row r="251">
      <x:c r="A251" s="20" t="str">
        <x:v>ellagic acid</x:v>
      </x:c>
      <x:c r="B251" s="20" t="str">
        <x:v>Polyphenols</x:v>
      </x:c>
      <x:c r="C251" s="20" t="str">
        <x:v>浆果、石榴和核桃等水果</x:v>
      </x:c>
      <x:c r="D251" s="20" t="str">
        <x:v>HCT116（结直肠癌）、MCF7（乳腺癌）细胞系</x:v>
      </x:c>
      <x:c r="E251" s="20" t="str">
        <x:v>In vitro</x:v>
      </x:c>
      <x:c r="F251" s="20" t="str">
        <x:v>not captured in source extraction</x:v>
      </x:c>
      <x:c r="G251" s="20" t="str">
        <x:v>抑制Drp-1 → 线粒体超融合 → 功能障碍 → 细胞周期阻滞 → 增殖抑制与细胞死亡</x:v>
      </x:c>
      <x:c r="H251" s="20" t="str">
        <x:v>线粒体形态改变、功能受损、周期退出、增殖下降、细胞死亡、增敏Dox</x:v>
      </x:c>
      <x:c r="I251" s="20" t="str">
        <x:v>not captured</x:v>
      </x:c>
      <x:c r="J251" s="20" t="str">
        <x:v>not reported</x:v>
      </x:c>
      <x:c r="K251" s="20" t="str">
        <x:v>not reported</x:v>
      </x:c>
      <x:c r="L251" s="20" t="str">
        <x:v>Level 3: cell-based mechanistic evidence</x:v>
      </x:c>
      <x:c r="M251" s="20" t="str">
        <x:v>Apoptosis/cell cycle</x:v>
      </x:c>
      <x:c r="N251" s="20" t="str">
        <x:v>36607523</x:v>
      </x:c>
      <x:c r="O251" s="20" t="str">
        <x:v>PMID36607523</x:v>
      </x:c>
      <x:c r="P251" s="20" t="str">
        <x:v>ellagic acid\250-36607523-ellagic acid inhibits mitochondrial source mol cell biochem so 2023.pdf</x:v>
      </x:c>
      <x:c r="Q251" s="20" t="str">
        <x:v>Ellagic acid inhibits mitochondrial fission protein Drp-1 and cell proliferation in cancer.</x:v>
      </x:c>
      <x:c r="R251" s="20" t="str">
        <x:v>Included</x:v>
      </x:c>
      <x:c r="S251" s="20" t="str">
        <x:v>2023</x:v>
      </x:c>
      <x:c r="T251" s="20" t="str">
        <x:v>2023/09/01</x:v>
      </x:c>
      <x:c r="U251" s="20" t="str">
        <x:v>ellagic acid</x:v>
      </x:c>
      <x:c r="V251" s="20" t="str">
        <x:v>浆果、石榴和核桃等水果</x:v>
      </x:c>
      <x:c r="W251" s="20" t="str">
        <x:v>Not established from supplied source field</x:v>
      </x:c>
      <x:c r="X251" s="20" t="str">
        <x:v>Generic botanical, dietary, computational, or unspecified association</x:v>
      </x:c>
      <x:c r="Y251" s="20" t="str">
        <x:v>PMID 36607523; PMID36607523</x:v>
      </x:c>
      <x:c r="Z251" s="20" t="str">
        <x:v>Purified isolated compound: ellagic acid</x:v>
      </x:c>
      <x:c r="AA251" s="20" t="str">
        <x:v>Row-level annotation; deduplicate by PMID for final reference-level counts</x:v>
      </x:c>
    </x:row>
    <x:row r="252">
      <x:c r="A252" s="20" t="str">
        <x:v>ellagic acid</x:v>
      </x:c>
      <x:c r="B252" s="20" t="str">
        <x:v>Polyphenols</x:v>
      </x:c>
      <x:c r="C252" s="20" t="str">
        <x:v>木本植物和水果中，如坚果、葡萄和浆果。</x:v>
      </x:c>
      <x:c r="D252" s="20" t="str">
        <x:v>人结肠癌 HCT-116 细胞系</x:v>
      </x:c>
      <x:c r="E252" s="20" t="str">
        <x:v>In vitro</x:v>
      </x:c>
      <x:c r="F252" s="20" t="str">
        <x:v>not captured in source extraction</x:v>
      </x:c>
      <x:c r="G252" s="20" t="str">
        <x:v>通过调控 lncRNA-mRNA 共表达网络发挥作用</x:v>
      </x:c>
      <x:c r="H252" s="20" t="str">
        <x:v>1. 抑制 HCT-116 细胞增殖
2. 诱导细胞周期阻滞（G0/G1 期）
3. 诱导细胞凋亡
4. 显著改变 lncRNA 和 mRNA 表达谱</x:v>
      </x:c>
      <x:c r="I252" s="20" t="str">
        <x:v>not captured</x:v>
      </x:c>
      <x:c r="J252" s="20" t="str">
        <x:v>not reported</x:v>
      </x:c>
      <x:c r="K252" s="20" t="str">
        <x:v>not reported</x:v>
      </x:c>
      <x:c r="L252" s="20" t="str">
        <x:v>Level 3: cell-based mechanistic evidence</x:v>
      </x:c>
      <x:c r="M252" s="20" t="str">
        <x:v>Apoptosis/cell cycle</x:v>
      </x:c>
      <x:c r="N252" s="20" t="str">
        <x:v>36847079</x:v>
      </x:c>
      <x:c r="O252" s="20" t="str">
        <x:v>PMID36847079</x:v>
      </x:c>
      <x:c r="P252" s="20" t="str">
        <x:v>ellagic acid\251-36847079-ellagic acid inhibits human colon ca source anticancer drugs so 2023.pdf</x:v>
      </x:c>
      <x:c r="Q252" s="20" t="str">
        <x:v>Ellagic acid inhibits human colon cancer HCT-116 cells by regulating long noncoding RNAs.</x:v>
      </x:c>
      <x:c r="R252" s="20" t="str">
        <x:v>Included</x:v>
      </x:c>
      <x:c r="S252" s="20" t="str">
        <x:v>2023</x:v>
      </x:c>
      <x:c r="T252" s="20" t="str">
        <x:v>2023/11/01</x:v>
      </x:c>
      <x:c r="U252" s="20" t="str">
        <x:v>ellagic acid</x:v>
      </x:c>
      <x:c r="V252" s="20" t="str">
        <x:v>木本植物和水果中，如坚果、葡萄和浆果。</x:v>
      </x:c>
      <x:c r="W252" s="20" t="str">
        <x:v>Not established from supplied source field</x:v>
      </x:c>
      <x:c r="X252" s="20" t="str">
        <x:v>Generic botanical, dietary, computational, or unspecified association</x:v>
      </x:c>
      <x:c r="Y252" s="20" t="str">
        <x:v>PMID 36847079; PMID36847079</x:v>
      </x:c>
      <x:c r="Z252" s="20" t="str">
        <x:v>Purified isolated compound: ellagic acid</x:v>
      </x:c>
      <x:c r="AA252" s="20" t="str">
        <x:v>Row-level annotation; deduplicate by PMID for final reference-level counts</x:v>
      </x:c>
    </x:row>
    <x:row r="253">
      <x:c r="A253" s="20" t="str">
        <x:v>ellagic acid</x:v>
      </x:c>
      <x:c r="B253" s="20" t="str">
        <x:v>Polyphenols</x:v>
      </x:c>
      <x:c r="C253" s="20" t="str">
        <x:v>植物</x:v>
      </x:c>
      <x:c r="D253" s="20" t="str">
        <x:v>使用二甲基肼（DMH）诱导的小鼠结直肠癌模型</x:v>
      </x:c>
      <x:c r="E253" s="20" t="str">
        <x:v>In vivo</x:v>
      </x:c>
      <x:c r="F253" s="20" t="str">
        <x:v>not captured in source extraction</x:v>
      </x:c>
      <x:c r="G253" s="20" t="str">
        <x:v>功能靶点为：细胞膜的物理特性，包括：
膜流动性（↓ 在DMH+CP组，↑ 经EA恢复）；
膜微环境极性/有序性（异常 → 经EA趋于正常）</x:v>
      </x:c>
      <x:c r="H253" s="20" t="str">
        <x:v>1. DMH + CP导致结肠上皮结构紊乱和细胞膜完整性破坏。
2. EA联合CP可改善结肠上皮形态，减少异常结构。
3. EA有助于恢复因毒性损伤引起的细胞膜流动性与微环境极性的异常。</x:v>
      </x:c>
      <x:c r="I253" s="20" t="str">
        <x:v>yes</x:v>
      </x:c>
      <x:c r="J253" s="20" t="str">
        <x:v>not reported</x:v>
      </x:c>
      <x:c r="K253" s="20" t="str">
        <x:v>not reported</x:v>
      </x:c>
      <x:c r="L253" s="20" t="str">
        <x:v>Level 2: in vivo evidence</x:v>
      </x:c>
      <x:c r="M253" s="20" t="str">
        <x:v>NF-kB/STAT3/inflammation</x:v>
      </x:c>
      <x:c r="N253" s="20" t="str">
        <x:v>37237848</x:v>
      </x:c>
      <x:c r="O253" s="20" t="str">
        <x:v>PMID37237848</x:v>
      </x:c>
      <x:c r="P253" s="20" t="str">
        <x:v>ellagic acid\252-37237848-antioxidant and anti inflammatory pr source antioxidants basel so 2023.pdf</x:v>
      </x:c>
      <x:c r="Q253" s="20" t="str">
        <x:v>Antioxidant and Anti-Inflammatory Properties of Walnut Constituents: Focus on Personalized Cancer Prevention and the Microbiome.</x:v>
      </x:c>
      <x:c r="R253" s="20" t="str">
        <x:v>Included</x:v>
      </x:c>
      <x:c r="S253" s="20" t="str">
        <x:v>2023</x:v>
      </x:c>
      <x:c r="T253" s="20" t="str">
        <x:v>2023/04/22</x:v>
      </x:c>
      <x:c r="U253" s="20" t="str">
        <x:v>ellagic acid</x:v>
      </x:c>
      <x:c r="V253" s="20" t="str">
        <x:v>植物</x:v>
      </x:c>
      <x:c r="W253" s="20" t="str">
        <x:v>Not established from supplied source field</x:v>
      </x:c>
      <x:c r="X253" s="20" t="str">
        <x:v>Generic botanical, dietary, computational, or unspecified association</x:v>
      </x:c>
      <x:c r="Y253" s="20" t="str">
        <x:v>PMID 37237848; PMID37237848</x:v>
      </x:c>
      <x:c r="Z253" s="20" t="str">
        <x:v>Extract/formula/decoction contextual evidence</x:v>
      </x:c>
      <x:c r="AA253" s="20" t="str">
        <x:v>Row-level annotation; deduplicate by PMID for final reference-level counts</x:v>
      </x:c>
    </x:row>
    <x:row r="254">
      <x:c r="A254" s="20" t="str">
        <x:v>ellagic acid</x:v>
      </x:c>
      <x:c r="B254" s="20" t="str">
        <x:v>Polyphenols</x:v>
      </x:c>
      <x:c r="C254" s="20" t="str">
        <x:v>水果和坚果</x:v>
      </x:c>
      <x:c r="D254" s="20" t="str">
        <x:v>动物模型（如NMBA诱导的食管癌）和体外癌细胞模型</x:v>
      </x:c>
      <x:c r="E254" s="20" t="str">
        <x:v>In vitro + in vivo</x:v>
      </x:c>
      <x:c r="F254" s="20" t="str">
        <x:v>not captured in source extraction</x:v>
      </x:c>
      <x:c r="G254" s="20" t="str">
        <x:v>Wnt/β-catenin, PI3K/Akt, STAT3, NF-κB, p53 等</x:v>
      </x:c>
      <x:c r="H254" s="20" t="str">
        <x:v>抑制增殖、诱导凋亡、抑制炎症和EMT</x:v>
      </x:c>
      <x:c r="I254" s="20" t="str">
        <x:v>not captured</x:v>
      </x:c>
      <x:c r="J254" s="20" t="str">
        <x:v>not reported</x:v>
      </x:c>
      <x:c r="K254" s="20" t="str">
        <x:v>not reported</x:v>
      </x:c>
      <x:c r="L254" s="20" t="str">
        <x:v>Level 1: animal-validated mechanistic evidence</x:v>
      </x:c>
      <x:c r="M254" s="20" t="str">
        <x:v>Apoptosis/cell cycle; PI3K/Akt/mTOR/metabolism; Wnt/beta-catenin/stemness; NF-kB/STAT3/inflammation; EMT/ECM/metastasis</x:v>
      </x:c>
      <x:c r="N254" s="20" t="str">
        <x:v>39222186</x:v>
      </x:c>
      <x:c r="O254" s="20" t="str">
        <x:v>PMID39222186</x:v>
      </x:c>
      <x:c r="P254" s="20" t="str">
        <x:v>ellagic acid\253-39222186-exploring the potential of ellagic a source oncol ther so 2024.pdf</x:v>
      </x:c>
      <x:c r="Q254" s="20" t="str">
        <x:v>Exploring the Potential of Ellagic Acid in Gastrointestinal Cancer Prevention: Recent Advances and Future Directions.</x:v>
      </x:c>
      <x:c r="R254" s="20" t="str">
        <x:v>Excluded: no CRC-specific model or outcome extracted</x:v>
      </x:c>
      <x:c r="S254" s="20" t="str">
        <x:v>2024</x:v>
      </x:c>
      <x:c r="T254" s="20" t="str">
        <x:v>2024/12/01</x:v>
      </x:c>
      <x:c r="U254" s="20" t="str">
        <x:v>ellagic acid</x:v>
      </x:c>
      <x:c r="V254" s="20" t="str">
        <x:v>水果和坚果</x:v>
      </x:c>
      <x:c r="W254" s="20" t="str">
        <x:v>Not established from supplied source field</x:v>
      </x:c>
      <x:c r="X254" s="20" t="str">
        <x:v>Generic botanical, dietary, computational, or unspecified association</x:v>
      </x:c>
      <x:c r="Y254" s="20" t="str">
        <x:v>PMID 39222186; PMID39222186</x:v>
      </x:c>
      <x:c r="Z254" s="20" t="str">
        <x:v>Not assessed for final attribution (excluded record)</x:v>
      </x:c>
      <x:c r="AA254" s="20" t="str">
        <x:v>Row-level annotation; deduplicate by PMID for final reference-level counts</x:v>
      </x:c>
    </x:row>
    <x:row r="255">
      <x:c r="A255" s="20" t="str">
        <x:v>ellagic acid</x:v>
      </x:c>
      <x:c r="B255" s="20" t="str">
        <x:v>Polyphenols</x:v>
      </x:c>
      <x:c r="C255" s="20" t="str">
        <x:v>石榴、核桃、浆果等药用植物</x:v>
      </x:c>
      <x:c r="D255" s="20" t="str">
        <x:v>生物信息学分析（系统药理学+分子对接）</x:v>
      </x:c>
      <x:c r="E255" s="20" t="str">
        <x:v>Network/in silico</x:v>
      </x:c>
      <x:c r="F255" s="20" t="str">
        <x:v>not captured in source extraction</x:v>
      </x:c>
      <x:c r="G255" s="20" t="str">
        <x:v>细胞凋亡、P53信号通路、WNT信号通路</x:v>
      </x:c>
      <x:c r="H255" s="20" t="str">
        <x:v>诱导凋亡、调控细胞周期基因、多通路协同</x:v>
      </x:c>
      <x:c r="I255" s="20" t="str">
        <x:v>not captured</x:v>
      </x:c>
      <x:c r="J255" s="20" t="str">
        <x:v>not reported</x:v>
      </x:c>
      <x:c r="K255" s="20" t="str">
        <x:v>not reported</x:v>
      </x:c>
      <x:c r="L255" s="20" t="str">
        <x:v>Level 4: in silico-only</x:v>
      </x:c>
      <x:c r="M255" s="20" t="str">
        <x:v>Apoptosis/cell cycle; Wnt/beta-catenin/stemness; MAPK/JNK/ERK</x:v>
      </x:c>
      <x:c r="N255" s="20" t="str">
        <x:v>32410114</x:v>
      </x:c>
      <x:c r="O255" s="20" t="str">
        <x:v>PMID32410114</x:v>
      </x:c>
      <x:c r="P255" s="20" t="str">
        <x:v>ellagic acid\254-32410114-ellagic acid and human cancers a sy source mol divers so 2020 may 14.pdf</x:v>
      </x:c>
      <x:c r="Q255" s="20" t="str">
        <x:v>Ellagic acid and human cancers: a systems pharmacology and docking study to identify principal hub genes and main mechanisms of action.</x:v>
      </x:c>
      <x:c r="R255" s="20" t="str">
        <x:v>Excluded: no CRC-specific model or outcome extracted</x:v>
      </x:c>
      <x:c r="S255" s="20" t="str">
        <x:v>2021</x:v>
      </x:c>
      <x:c r="T255" s="20" t="str">
        <x:v>2021/02/01</x:v>
      </x:c>
      <x:c r="U255" s="20" t="str">
        <x:v>ellagic acid</x:v>
      </x:c>
      <x:c r="V255" s="20" t="str">
        <x:v>石榴、核桃、浆果等药用植物</x:v>
      </x:c>
      <x:c r="W255" s="20" t="str">
        <x:v>Not established from supplied source field</x:v>
      </x:c>
      <x:c r="X255" s="20" t="str">
        <x:v>Generic botanical, dietary, computational, or unspecified association</x:v>
      </x:c>
      <x:c r="Y255" s="20" t="str">
        <x:v>PMID 32410114; PMID32410114</x:v>
      </x:c>
      <x:c r="Z255" s="20" t="str">
        <x:v>Not assessed for final attribution (excluded record)</x:v>
      </x:c>
      <x:c r="AA255" s="20" t="str">
        <x:v>Row-level annotation; deduplicate by PMID for final reference-level counts</x:v>
      </x:c>
    </x:row>
    <x:row r="256">
      <x:c r="A256" s="20" t="str">
        <x:v>ellagic acid</x:v>
      </x:c>
      <x:c r="B256" s="20" t="str">
        <x:v>Polyphenols</x:v>
      </x:c>
      <x:c r="C256" s="20" t="str">
        <x:v>Terminalia chebula 果实的醇水提取物（来自印度曼尼普尔）</x:v>
      </x:c>
      <x:c r="D256" s="20" t="str">
        <x:v>HCT 116 细胞、MTT/LDH/caspase 检测、GC-MS/HPTLC 分析</x:v>
      </x:c>
      <x:c r="E256" s="20" t="str">
        <x:v>In vitro</x:v>
      </x:c>
      <x:c r="F256" s="20" t="str">
        <x:v>not captured in source extraction</x:v>
      </x:c>
      <x:c r="G256" s="20" t="str">
        <x:v>caspase依赖性凋亡通路</x:v>
      </x:c>
      <x:c r="H256" s="20" t="str">
        <x:v>细胞毒性、诱导凋亡、抗氧化、抑制增殖</x:v>
      </x:c>
      <x:c r="I256" s="20" t="str">
        <x:v>not captured</x:v>
      </x:c>
      <x:c r="J256" s="20" t="str">
        <x:v>not reported</x:v>
      </x:c>
      <x:c r="K256" s="20" t="str">
        <x:v>not reported</x:v>
      </x:c>
      <x:c r="L256" s="20" t="str">
        <x:v>Contextual mixture/formulation evidence</x:v>
      </x:c>
      <x:c r="M256" s="20" t="str">
        <x:v>Apoptosis/cell cycle; ROS/ferroptosis</x:v>
      </x:c>
      <x:c r="N256" s="20" t="str">
        <x:v>37049666</x:v>
      </x:c>
      <x:c r="O256" s="20" t="str">
        <x:v>not available</x:v>
      </x:c>
      <x:c r="P256" s="20" t="str">
        <x:v>ellagic acid\255-37049666-chemical profiling and therapeutic e source molecules so 2023.pdf</x:v>
      </x:c>
      <x:c r="Q256" s="20" t="str">
        <x:v>not retained - incomplete bibliographic metadata</x:v>
      </x:c>
      <x:c r="R256" s="20" t="str">
        <x:v>Excluded: no CRC-specific model or outcome extracted</x:v>
      </x:c>
      <x:c r="S256" s="20" t="str">
        <x:v>2023</x:v>
      </x:c>
      <x:c r="T256" s="20" t="str">
        <x:v>2023/03/23</x:v>
      </x:c>
      <x:c r="U256" s="20" t="str">
        <x:v>ellagic acid</x:v>
      </x:c>
      <x:c r="V256" s="20" t="str">
        <x:v>Terminalia chebula 果实的醇水提取物（来自印度曼尼普尔）</x:v>
      </x:c>
      <x:c r="W256" s="20" t="str">
        <x:v>Not established from supplied source field</x:v>
      </x:c>
      <x:c r="X256" s="20" t="str">
        <x:v>Generic botanical, dietary, computational, or unspecified association</x:v>
      </x:c>
      <x:c r="Y256" s="20" t="str">
        <x:v>PMID 37049666; not available</x:v>
      </x:c>
      <x:c r="Z256" s="20" t="str">
        <x:v>Not assessed for final attribution (excluded record)</x:v>
      </x:c>
      <x:c r="AA256" s="20" t="str">
        <x:v>Row-level annotation; deduplicate by PMID for final reference-level counts</x:v>
      </x:c>
    </x:row>
    <x:row r="257">
      <x:c r="A257" s="20" t="str">
        <x:v>ellagic acid</x:v>
      </x:c>
      <x:c r="B257" s="20" t="str">
        <x:v>Polyphenols</x:v>
      </x:c>
      <x:c r="C257" s="20" t="str">
        <x:v>多种植物：芍药、树莓、柯子、核桃、乳香、枇杷叶、石榴皮、鸡屎藤、仙草</x:v>
      </x:c>
      <x:c r="D257" s="20" t="str">
        <x:v>not reported</x:v>
      </x:c>
      <x:c r="E257" s="20" t="str">
        <x:v>Not specified</x:v>
      </x:c>
      <x:c r="F257" s="20" t="str">
        <x:v>not captured in source extraction</x:v>
      </x:c>
      <x:c r="G257" s="20" t="str">
        <x:v>VEGFR-2、Notch、PKC、COX-2（抑增殖）；PI3K/Akt、JNK、线粒体、Bcl-2/Bax、TGF-β/Smad3（促凋亡）；EMT、MMP、SDF1α/CXCR4（抑转移）；自噬、代谢重编程</x:v>
      </x:c>
      <x:c r="H257" s="20" t="str">
        <x:v>凋亡、增殖抑制、转移侵袭抑制、自噬、代谢干扰、EMT阻断</x:v>
      </x:c>
      <x:c r="I257" s="20" t="str">
        <x:v>not captured</x:v>
      </x:c>
      <x:c r="J257" s="20" t="str">
        <x:v>not reported</x:v>
      </x:c>
      <x:c r="K257" s="20" t="str">
        <x:v>not reported</x:v>
      </x:c>
      <x:c r="L257" s="20" t="str">
        <x:v>Excluded: insufficient extractable evidence</x:v>
      </x:c>
      <x:c r="M257" s="20" t="str">
        <x:v>Apoptosis/cell cycle; PI3K/Akt/mTOR/metabolism; MAPK/JNK/ERK; EMT/ECM/metastasis</x:v>
      </x:c>
      <x:c r="N257" s="20" t="str">
        <x:v>37423169</x:v>
      </x:c>
      <x:c r="O257" s="20" t="str">
        <x:v>PMID37423169</x:v>
      </x:c>
      <x:c r="P257" s="20" t="str">
        <x:v>ellagic acid\256-37423169-the multifaceted mechanisms of ellag source biomed pharmacother so 2023.pdf</x:v>
      </x:c>
      <x:c r="Q257" s="20" t="str">
        <x:v>The multifaceted mechanisms of ellagic acid in the treatment of tumors: State-of-the-art.</x:v>
      </x:c>
      <x:c r="R257" s="20" t="str">
        <x:v>Excluded: no CRC-specific model or outcome extracted</x:v>
      </x:c>
      <x:c r="S257" s="20" t="str">
        <x:v>2023</x:v>
      </x:c>
      <x:c r="T257" s="20" t="str">
        <x:v>2023/09/01</x:v>
      </x:c>
      <x:c r="U257" s="20" t="str">
        <x:v>ellagic acid</x:v>
      </x:c>
      <x:c r="V257" s="20" t="str">
        <x:v>多种植物：芍药、树莓、柯子、核桃、乳香、枇杷叶、石榴皮、鸡屎藤、仙草</x:v>
      </x:c>
      <x:c r="W257" s="20" t="str">
        <x:v>Not established from supplied source field</x:v>
      </x:c>
      <x:c r="X257" s="20" t="str">
        <x:v>Generic botanical, dietary, computational, or unspecified association</x:v>
      </x:c>
      <x:c r="Y257" s="20" t="str">
        <x:v>PMID 37423169; PMID37423169</x:v>
      </x:c>
      <x:c r="Z257" s="20" t="str">
        <x:v>Not assessed for final attribution (excluded record)</x:v>
      </x:c>
      <x:c r="AA257" s="20" t="str">
        <x:v>Row-level annotation; deduplicate by PMID for final reference-level counts</x:v>
      </x:c>
    </x:row>
    <x:row r="258">
      <x:c r="A258" s="20" t="str">
        <x:v>ellagic acid</x:v>
      </x:c>
      <x:c r="B258" s="20" t="str">
        <x:v>Polyphenols</x:v>
      </x:c>
      <x:c r="C258" s="20" t="str">
        <x:v>Haritaki churna</x:v>
      </x:c>
      <x:c r="D258" s="20" t="str">
        <x:v>1 细胞模型：
  癌细胞：人结直肠癌细胞系 HCT116、DLD1、HT29；
  正常细胞对照：原代人外周血单个核细胞（PBMCs）、非癌性HEK293细胞
2 体外实验系统：细胞活力检测、细胞周期分析、蛋白表达检测（cyclin A2）、凋亡标志物检测
3 稳定性测试：在生物胃液中评估稳定性</x:v>
      </x:c>
      <x:c r="E258" s="20" t="str">
        <x:v>In vitro</x:v>
      </x:c>
      <x:c r="F258" s="20" t="str">
        <x:v>not captured in source extraction</x:v>
      </x:c>
      <x:c r="G258" s="20" t="str">
        <x:v>通过线粒体依赖性凋亡通路诱导癌细胞死亡</x:v>
      </x:c>
      <x:c r="H258" s="20" t="str">
        <x:v>1 显著抑制结直肠癌细胞增殖
2 阻滞细胞周期于 S期
3 诱导细胞凋亡，表现为：
DNA片段化、凋亡相关蛋白表达改变、caspase3 和 PARP1 被切割激活</x:v>
      </x:c>
      <x:c r="I258" s="20" t="str">
        <x:v>not captured</x:v>
      </x:c>
      <x:c r="J258" s="20" t="str">
        <x:v>not reported</x:v>
      </x:c>
      <x:c r="K258" s="20" t="str">
        <x:v>not reported</x:v>
      </x:c>
      <x:c r="L258" s="20" t="str">
        <x:v>Contextual mixture/formulation evidence</x:v>
      </x:c>
      <x:c r="M258" s="20" t="str">
        <x:v>Apoptosis/cell cycle</x:v>
      </x:c>
      <x:c r="N258" s="20" t="str">
        <x:v>37256897</x:v>
      </x:c>
      <x:c r="O258" s="20" t="str">
        <x:v>PMID37256897</x:v>
      </x:c>
      <x:c r="P258" s="20" t="str">
        <x:v>ellagic acid\257-37256897-extraction phytochemical characteri source plos one so 2023.pdf</x:v>
      </x:c>
      <x:c r="Q258" s="20" t="str">
        <x:v>Extraction, phytochemical characterization and anti-cancer mechanism of Haritaki churna: An ayurvedic formulation.</x:v>
      </x:c>
      <x:c r="R258" s="20" t="str">
        <x:v>Included</x:v>
      </x:c>
      <x:c r="S258" s="20" t="str">
        <x:v>2023</x:v>
      </x:c>
      <x:c r="T258" s="20" t="str">
        <x:v>2023/05/31</x:v>
      </x:c>
      <x:c r="U258" s="20" t="str">
        <x:v>ellagic acid</x:v>
      </x:c>
      <x:c r="V258" s="20" t="str">
        <x:v>Haritaki churna</x:v>
      </x:c>
      <x:c r="W258" s="20" t="str">
        <x:v>Not established from supplied source field</x:v>
      </x:c>
      <x:c r="X258" s="20" t="str">
        <x:v>Generic botanical, dietary, computational, or unspecified association</x:v>
      </x:c>
      <x:c r="Y258" s="20" t="str">
        <x:v>PMID 37256897; PMID37256897</x:v>
      </x:c>
      <x:c r="Z258" s="20" t="str">
        <x:v>Extract/formula/decoction contextual evidence</x:v>
      </x:c>
      <x:c r="AA258" s="20" t="str">
        <x:v>Row-level annotation; deduplicate by PMID for final reference-level counts</x:v>
      </x:c>
    </x:row>
    <x:row r="259">
      <x:c r="A259" s="20" t="str">
        <x:v>ellagic acid</x:v>
      </x:c>
      <x:c r="B259" s="20" t="str">
        <x:v>Polyphenols</x:v>
      </x:c>
      <x:c r="C259" s="20" t="str">
        <x:v>Jaboticaba 果实乙醇提取物（FEX）</x:v>
      </x:c>
      <x:c r="D259" s="20" t="str">
        <x:v>DMH诱导的大鼠结直肠癌前病变模型，口服FEX干预56天</x:v>
      </x:c>
      <x:c r="E259" s="20" t="str">
        <x:v>In vivo</x:v>
      </x:c>
      <x:c r="F259" s="20" t="str">
        <x:v>not captured in source extraction</x:v>
      </x:c>
      <x:c r="G259" s="20" t="str">
        <x:v>调节肠道菌群 → 提升短链脂肪酸（SCFA），尤其是丁酸水平</x:v>
      </x:c>
      <x:c r="H259" s="20" t="str">
        <x:v>抑制ACF形成（尤其大尺寸ACF）、改善菌群结构、提高丁酸</x:v>
      </x:c>
      <x:c r="I259" s="20" t="str">
        <x:v>yes</x:v>
      </x:c>
      <x:c r="J259" s="20" t="str">
        <x:v>not reported</x:v>
      </x:c>
      <x:c r="K259" s="20" t="str">
        <x:v>not reported</x:v>
      </x:c>
      <x:c r="L259" s="20" t="str">
        <x:v>Contextual mixture/formulation evidence</x:v>
      </x:c>
      <x:c r="M259" s="20" t="str">
        <x:v>not assigned</x:v>
      </x:c>
      <x:c r="N259" s="20" t="str">
        <x:v>36820999</x:v>
      </x:c>
      <x:c r="O259" s="20" t="str">
        <x:v>PMID36820999</x:v>
      </x:c>
      <x:c r="P259" s="20" t="str">
        <x:v>ellagic acid\258-36820999-jaboticaba myrciaria cauliflora fr source plant foods hum nutr so 2023.pdf</x:v>
      </x:c>
      <x:c r="Q259" s="20" t="str">
        <x:v>Jaboticaba (Myrciaria cauliflora) Fruit Extract Suppressed Aberrant Crypt Formation in 1,2-Dimetylhydrazine-Induced Rats.</x:v>
      </x:c>
      <x:c r="R259" s="20" t="str">
        <x:v>Included</x:v>
      </x:c>
      <x:c r="S259" s="20" t="str">
        <x:v>2023</x:v>
      </x:c>
      <x:c r="T259" s="20" t="str">
        <x:v>2023/06/01</x:v>
      </x:c>
      <x:c r="U259" s="20" t="str">
        <x:v>ellagic acid</x:v>
      </x:c>
      <x:c r="V259" s="20" t="str">
        <x:v>Jaboticaba 果实乙醇提取物（FEX）</x:v>
      </x:c>
      <x:c r="W259" s="20" t="str">
        <x:v>Not established from supplied source field</x:v>
      </x:c>
      <x:c r="X259" s="20" t="str">
        <x:v>Generic botanical, dietary, computational, or unspecified association</x:v>
      </x:c>
      <x:c r="Y259" s="20" t="str">
        <x:v>PMID 36820999; PMID36820999</x:v>
      </x:c>
      <x:c r="Z259" s="20" t="str">
        <x:v>Extract/formula/decoction contextual evidence</x:v>
      </x:c>
      <x:c r="AA259" s="20" t="str">
        <x:v>Row-level annotation; deduplicate by PMID for final reference-level counts</x:v>
      </x:c>
    </x:row>
    <x:row r="260">
      <x:c r="A260" s="20" t="str">
        <x:v>ellagic acid</x:v>
      </x:c>
      <x:c r="B260" s="20" t="str">
        <x:v>Polyphenols</x:v>
      </x:c>
      <x:c r="C260" s="20" t="str">
        <x:v>Phyllanthus amarus 植物提取物</x:v>
      </x:c>
      <x:c r="D260" s="20" t="str">
        <x:v>HCT116 细胞、CCD18Co 正常细胞；体外实验</x:v>
      </x:c>
      <x:c r="E260" s="20" t="str">
        <x:v>In vitro</x:v>
      </x:c>
      <x:c r="F260" s="20" t="str">
        <x:v>not captured in source extraction</x:v>
      </x:c>
      <x:c r="G260" s="20" t="str">
        <x:v>caspase依赖性凋亡通路（caspase-8/-9/-3/7, PARP, cytochrome c）</x:v>
      </x:c>
      <x:c r="H260" s="20" t="str">
        <x:v>抑制增殖、诱导凋亡</x:v>
      </x:c>
      <x:c r="I260" s="20" t="str">
        <x:v>not captured</x:v>
      </x:c>
      <x:c r="J260" s="20" t="str">
        <x:v>not reported</x:v>
      </x:c>
      <x:c r="K260" s="20" t="str">
        <x:v>not reported</x:v>
      </x:c>
      <x:c r="L260" s="20" t="str">
        <x:v>Level 3: cell-based mechanistic evidence</x:v>
      </x:c>
      <x:c r="M260" s="20" t="str">
        <x:v>Apoptosis/cell cycle</x:v>
      </x:c>
      <x:c r="N260" s="20" t="str">
        <x:v>32532192</x:v>
      </x:c>
      <x:c r="O260" s="20" t="str">
        <x:v>PMID32532192</x:v>
      </x:c>
      <x:c r="P260" s="20" t="str">
        <x:v>ellagic acid\259-32532192-lignans and polyphenols of phyllanthus.pdf</x:v>
      </x:c>
      <x:c r="Q260" s="20" t="str">
        <x:v>Lignans and Polyphenols of Phyllanthus amarus Schumach and Thonn Induce Apoptosis in HCT116 Human Colon Cancer Cells through Caspases-Dependent Pathway.</x:v>
      </x:c>
      <x:c r="R260" s="20" t="str">
        <x:v>Included</x:v>
      </x:c>
      <x:c r="S260" s="20" t="str">
        <x:v>2021</x:v>
      </x:c>
      <x:c r="T260" s="20" t="str">
        <x:v>2021/01/01</x:v>
      </x:c>
      <x:c r="U260" s="20" t="str">
        <x:v>ellagic acid</x:v>
      </x:c>
      <x:c r="V260" s="20" t="str">
        <x:v>Phyllanthus amarus 植物提取物</x:v>
      </x:c>
      <x:c r="W260" s="20" t="str">
        <x:v>Not established from supplied source field</x:v>
      </x:c>
      <x:c r="X260" s="20" t="str">
        <x:v>Generic botanical, dietary, computational, or unspecified association</x:v>
      </x:c>
      <x:c r="Y260" s="20" t="str">
        <x:v>PMID 32532192; PMID32532192</x:v>
      </x:c>
      <x:c r="Z260" s="20" t="str">
        <x:v>Extract/formula/decoction contextual evidence</x:v>
      </x:c>
      <x:c r="AA260" s="20" t="str">
        <x:v>Row-level annotation; deduplicate by PMID for final reference-level counts</x:v>
      </x:c>
    </x:row>
    <x:row r="261">
      <x:c r="A261" s="20" t="str">
        <x:v>ellagic acid</x:v>
      </x:c>
      <x:c r="B261" s="20" t="str">
        <x:v>Polyphenols</x:v>
      </x:c>
      <x:c r="C261" s="20" t="str">
        <x:v>选定的委陵菜属Potentilla植物地上部分的丙酮提取物</x:v>
      </x:c>
      <x:c r="D261" s="20" t="str">
        <x:v>细胞模型 人结肠腺癌细胞系 LS180癌细胞 ；正常人结肠上皮细胞系 CCD841</x:v>
      </x:c>
      <x:c r="E261" s="20" t="str">
        <x:v>In vitro</x:v>
      </x:c>
      <x:c r="F261" s="20" t="str">
        <x:v>not captured in source extraction</x:v>
      </x:c>
      <x:c r="G261" s="20" t="str">
        <x:v>上调：p53、Bax、caspase 3/6/7/8/9
下调：Bcl 2、cleaved caspase 3、MMP 2、MMP 9、NF κB 活性</x:v>
      </x:c>
      <x:c r="H261" s="20" t="str">
        <x:v>显著抑制 LS180 癌细胞的DNA合成BrdU实验，降低癌细胞代谢活性MTT实验，引起癌细胞细胞膜损伤LDH释放增加，对正常细胞CCD841 CoN影响极小，表现出高选择性毒性 所有提取物均呈剂量依赖性效应</x:v>
      </x:c>
      <x:c r="I261" s="20" t="str">
        <x:v>not captured</x:v>
      </x:c>
      <x:c r="J261" s="20" t="str">
        <x:v>not reported</x:v>
      </x:c>
      <x:c r="K261" s="20" t="str">
        <x:v>not reported</x:v>
      </x:c>
      <x:c r="L261" s="20" t="str">
        <x:v>Contextual mixture/formulation evidence</x:v>
      </x:c>
      <x:c r="M261" s="20" t="str">
        <x:v>Apoptosis/cell cycle; EMT/ECM/metastasis</x:v>
      </x:c>
      <x:c r="N261" s="20" t="str">
        <x:v>36249795</x:v>
      </x:c>
      <x:c r="O261" s="20" t="str">
        <x:v>not available</x:v>
      </x:c>
      <x:c r="P261" s="20" t="str">
        <x:v>astragalin\157-36249795-Anticancer potential of acetone extr Source Front Pharmacol SO 2022.pdf</x:v>
      </x:c>
      <x:c r="Q261" s="20" t="str">
        <x:v>not retained - incomplete bibliographic metadata</x:v>
      </x:c>
      <x:c r="R261" s="20" t="str">
        <x:v>Excluded: no CRC-specific model or outcome extracted</x:v>
      </x:c>
      <x:c r="S261" s="20" t="str">
        <x:v>2022</x:v>
      </x:c>
      <x:c r="T261" s="20" t="str">
        <x:v>2022/09/29</x:v>
      </x:c>
      <x:c r="U261" s="20" t="str">
        <x:v>ellagic acid</x:v>
      </x:c>
      <x:c r="V261" s="20" t="str">
        <x:v>选定的委陵菜属Potentilla植物地上部分的丙酮提取物</x:v>
      </x:c>
      <x:c r="W261" s="20" t="str">
        <x:v>Not established from supplied source field</x:v>
      </x:c>
      <x:c r="X261" s="20" t="str">
        <x:v>Generic botanical, dietary, computational, or unspecified association</x:v>
      </x:c>
      <x:c r="Y261" s="20" t="str">
        <x:v>PMID 36249795; not available</x:v>
      </x:c>
      <x:c r="Z261" s="20" t="str">
        <x:v>Not assessed for final attribution (excluded record)</x:v>
      </x:c>
      <x:c r="AA261" s="20" t="str">
        <x:v>Row-level annotation; deduplicate by PMID for final reference-level counts</x:v>
      </x:c>
    </x:row>
    <x:row r="262">
      <x:c r="A262" s="20" t="str">
        <x:v>ellagic acid</x:v>
      </x:c>
      <x:c r="B262" s="20" t="str">
        <x:v>Polyphenols</x:v>
      </x:c>
      <x:c r="C262" s="20" t="str">
        <x:v>丁香皮</x:v>
      </x:c>
      <x:c r="D262" s="20" t="str">
        <x:v>体外模型 癌细胞与T细胞共培养系统
体内模型 人源化 PD-1/PD-L1 基因敲入 MC-38 结肠癌小鼠模型 hPD-L1/MC-38 tumor-bearing mice</x:v>
      </x:c>
      <x:c r="E262" s="20" t="str">
        <x:v>In vitro + in vivo</x:v>
      </x:c>
      <x:c r="F262" s="20" t="str">
        <x:v>70%</x:v>
      </x:c>
      <x:c r="G262" s="20" t="str">
        <x:v>可能通过抑制癌细胞中 PD-L1 的表达 从而阻断 PD-1/PD-L1 免疫检查点通路 恢复T细胞抗肿瘤活性</x:v>
      </x:c>
      <x:c r="H262" s="20" t="str">
        <x:v>显著下调癌细胞中 PD-L1 的组成性和诱导性表达
增强癌细胞死亡 mortality
提高T细胞活性
抑制肿瘤生长 大于70%
增加肿瘤微环境中 CD8+ T细胞浸润</x:v>
      </x:c>
      <x:c r="I262" s="20" t="str">
        <x:v>not captured</x:v>
      </x:c>
      <x:c r="J262" s="20" t="str">
        <x:v>not reported</x:v>
      </x:c>
      <x:c r="K262" s="20" t="str">
        <x:v>not reported</x:v>
      </x:c>
      <x:c r="L262" s="20" t="str">
        <x:v>Level 1: animal-validated mechanistic evidence</x:v>
      </x:c>
      <x:c r="M262" s="20" t="str">
        <x:v>Immune microenvironment</x:v>
      </x:c>
      <x:c r="N262" s="20" t="str">
        <x:v>39771037</x:v>
      </x:c>
      <x:c r="O262" s="20" t="str">
        <x:v>not available</x:v>
      </x:c>
      <x:c r="P262" s="20" t="str">
        <x:v>ellagic acid\261-39771037-caryophylli cortex suppress pd l1 ex source nutrients so 2024.pdf</x:v>
      </x:c>
      <x:c r="Q262" s="20" t="str">
        <x:v>not retained - incomplete bibliographic metadata</x:v>
      </x:c>
      <x:c r="R262" s="20" t="str">
        <x:v>Excluded: incomplete bibliographic title requiring verification</x:v>
      </x:c>
      <x:c r="S262" s="20" t="str">
        <x:v>2024</x:v>
      </x:c>
      <x:c r="T262" s="20" t="str">
        <x:v>2024/12/23</x:v>
      </x:c>
      <x:c r="U262" s="20" t="str">
        <x:v>ellagic acid</x:v>
      </x:c>
      <x:c r="V262" s="20" t="str">
        <x:v>丁香皮</x:v>
      </x:c>
      <x:c r="W262" s="20" t="str">
        <x:v>Not established from supplied source field</x:v>
      </x:c>
      <x:c r="X262" s="20" t="str">
        <x:v>Generic botanical, dietary, computational, or unspecified association</x:v>
      </x:c>
      <x:c r="Y262" s="20" t="str">
        <x:v>PMID 39771037; not available</x:v>
      </x:c>
      <x:c r="Z262" s="20" t="str">
        <x:v>Not assessed for final attribution (excluded record)</x:v>
      </x:c>
      <x:c r="AA262" s="20" t="str">
        <x:v>Row-level annotation; deduplicate by PMID for final reference-level counts</x:v>
      </x:c>
    </x:row>
    <x:row r="263">
      <x:c r="A263" s="20" t="str">
        <x:v>ellagic acid</x:v>
      </x:c>
      <x:c r="B263" s="20" t="str">
        <x:v>Polyphenols</x:v>
      </x:c>
      <x:c r="C263" s="20" t="str">
        <x:v>Jaboticaba 果实的全果乙醇提取物（FEX）</x:v>
      </x:c>
      <x:c r="D263" s="20" t="str">
        <x:v>动物模型：1,2-二甲基肼（DMH）诱导的结直肠癌前病变大鼠模型</x:v>
      </x:c>
      <x:c r="E263" s="20" t="str">
        <x:v>In vivo</x:v>
      </x:c>
      <x:c r="F263" s="20" t="str">
        <x:v>not captured in source extraction</x:v>
      </x:c>
      <x:c r="G263" s="20" t="str">
        <x:v>通过调节肠道菌群组成，促进产短链脂肪酸（SCFA）菌群生长，提高盲肠中丁酸浓度，从而发挥结直肠癌的化学预防作用。</x:v>
      </x:c>
      <x:c r="H263" s="20" t="str">
        <x:v>1. 显著抑制异常隐窝灶（ACF）形成，特别是大尺寸ACF（&gt;5个隐窝）；
2. 改善肠道微生态结构；
3. 提升具有抗炎和抗癌潜力的丁酸水平；
4. 表明FEX具有在结直肠癌早期进行干预的潜力。</x:v>
      </x:c>
      <x:c r="I263" s="20" t="str">
        <x:v>yes</x:v>
      </x:c>
      <x:c r="J263" s="20" t="str">
        <x:v>not reported</x:v>
      </x:c>
      <x:c r="K263" s="20" t="str">
        <x:v>not reported</x:v>
      </x:c>
      <x:c r="L263" s="20" t="str">
        <x:v>Contextual mixture/formulation evidence</x:v>
      </x:c>
      <x:c r="M263" s="20" t="str">
        <x:v>not assigned</x:v>
      </x:c>
      <x:c r="N263" s="20" t="str">
        <x:v>36902263</x:v>
      </x:c>
      <x:c r="O263" s="20" t="str">
        <x:v>not available</x:v>
      </x:c>
      <x:c r="P263" s="20" t="str">
        <x:v>astragalin\159-36902263-Phytochemical Profiling of Extracts Source Int J Mol Sci SO 2023.pdf</x:v>
      </x:c>
      <x:c r="Q263" s="20" t="str">
        <x:v>not retained - incomplete bibliographic metadata</x:v>
      </x:c>
      <x:c r="R263" s="20" t="str">
        <x:v>Excluded: incomplete bibliographic title requiring verification</x:v>
      </x:c>
      <x:c r="S263" s="20" t="str">
        <x:v>2023</x:v>
      </x:c>
      <x:c r="T263" s="20" t="str">
        <x:v>2023/03/02</x:v>
      </x:c>
      <x:c r="U263" s="20" t="str">
        <x:v>ellagic acid</x:v>
      </x:c>
      <x:c r="V263" s="20" t="str">
        <x:v>Jaboticaba 果实的全果乙醇提取物（FEX）</x:v>
      </x:c>
      <x:c r="W263" s="20" t="str">
        <x:v>Not established from supplied source field</x:v>
      </x:c>
      <x:c r="X263" s="20" t="str">
        <x:v>Generic botanical, dietary, computational, or unspecified association</x:v>
      </x:c>
      <x:c r="Y263" s="20" t="str">
        <x:v>PMID 36902263; not available</x:v>
      </x:c>
      <x:c r="Z263" s="20" t="str">
        <x:v>Not assessed for final attribution (excluded record)</x:v>
      </x:c>
      <x:c r="AA263" s="20" t="str">
        <x:v>Row-level annotation; deduplicate by PMID for final reference-level counts</x:v>
      </x:c>
    </x:row>
    <x:row r="264">
      <x:c r="A264" s="20" t="str">
        <x:v>ellagic acid</x:v>
      </x:c>
      <x:c r="B264" s="20" t="str">
        <x:v>Polyphenols</x:v>
      </x:c>
      <x:c r="C264" s="20" t="str">
        <x:v>乳香和没药</x:v>
      </x:c>
      <x:c r="D264" s="20" t="str">
        <x:v>网络药理学分析</x:v>
      </x:c>
      <x:c r="E264" s="20" t="str">
        <x:v>Network/in silico</x:v>
      </x:c>
      <x:c r="F264" s="20" t="str">
        <x:v>not captured in source extraction</x:v>
      </x:c>
      <x:c r="G264" s="20" t="str">
        <x:v>可能1. PI3K/Akt 信号通路
2. TNF 信号通路
3. HIF-1 信号通路
4. 结直肠癌通路</x:v>
      </x:c>
      <x:c r="H264" s="20" t="str">
        <x:v>抗肿瘤和抗炎作用</x:v>
      </x:c>
      <x:c r="I264" s="20" t="str">
        <x:v>not captured</x:v>
      </x:c>
      <x:c r="J264" s="20" t="str">
        <x:v>not reported</x:v>
      </x:c>
      <x:c r="K264" s="20" t="str">
        <x:v>not reported</x:v>
      </x:c>
      <x:c r="L264" s="20" t="str">
        <x:v>Level 4: in silico-only</x:v>
      </x:c>
      <x:c r="M264" s="20" t="str">
        <x:v>PI3K/Akt/mTOR/metabolism</x:v>
      </x:c>
      <x:c r="N264" s="20" t="str">
        <x:v>38415445</x:v>
      </x:c>
      <x:c r="O264" s="20" t="str">
        <x:v>PMID38415445</x:v>
      </x:c>
      <x:c r="P264" s="20" t="str">
        <x:v>ellagic acid\263-38415445-network pharmacology analysis on the source curr pharm des so 2024 feb 19.pdf</x:v>
      </x:c>
      <x:c r="Q264" s="20" t="str">
        <x:v>Network Pharmacology Analysis on the Mechanism of Xihuangwan in Treating Rectal Cancer and Radiation Enteritis.</x:v>
      </x:c>
      <x:c r="R264" s="20" t="str">
        <x:v>Included</x:v>
      </x:c>
      <x:c r="S264" s="20" t="str">
        <x:v>2024</x:v>
      </x:c>
      <x:c r="T264" s="20" t="str">
        <x:v>2024/01/01</x:v>
      </x:c>
      <x:c r="U264" s="20" t="str">
        <x:v>ellagic acid</x:v>
      </x:c>
      <x:c r="V264" s="20" t="str">
        <x:v>乳香和没药</x:v>
      </x:c>
      <x:c r="W264" s="20" t="str">
        <x:v>Not established from supplied source field</x:v>
      </x:c>
      <x:c r="X264" s="20" t="str">
        <x:v>Generic botanical, dietary, computational, or unspecified association</x:v>
      </x:c>
      <x:c r="Y264" s="20" t="str">
        <x:v>PMID 38415445; PMID38415445</x:v>
      </x:c>
      <x:c r="Z264" s="20" t="str">
        <x:v>Network pharmacology/in silico evidence</x:v>
      </x:c>
      <x:c r="AA264" s="20" t="str">
        <x:v>Row-level annotation; deduplicate by PMID for final reference-level counts</x:v>
      </x:c>
    </x:row>
    <x:row r="265">
      <x:c r="A265" s="20" t="str">
        <x:v>ellagic acid</x:v>
      </x:c>
      <x:c r="B265" s="20" t="str">
        <x:v>Polyphenols</x:v>
      </x:c>
      <x:c r="C265" s="20" t="str">
        <x:v>1 在丁香 Syzygium aromaticum 的乙醇提取物中占 6.70%
2 在 nervosum 的种子乙醇提取物中占 3.06%</x:v>
      </x:c>
      <x:c r="D265" s="20" t="str">
        <x:v>体外细胞模型
1 HCT116 细胞 p53野生型人结肠癌细胞
2 HT 29 细胞 p53突变型人结肠癌细胞</x:v>
      </x:c>
      <x:c r="E265" s="20" t="str">
        <x:v>In vitro</x:v>
      </x:c>
      <x:c r="F265" s="20" t="str">
        <x:v>6.70%; 3.06%</x:v>
      </x:c>
      <x:c r="G265" s="20" t="str">
        <x:v>在 p53 野生型 HCT116 细胞中激活 p53 介导的检查点通路 导致细胞周期阻滞和凋亡</x:v>
      </x:c>
      <x:c r="H265" s="20" t="str">
        <x:v>1 显著抑制 HCT116 细胞增殖
2 诱导细胞凋亡 经 Annexin V FITC PI 染色和 caspase 3/7 活性增加证实
3 引起 sub G1 期细胞积累 表明DNA碎片化和凋亡发生
4 上调 p21 表达
5 下调 cyclin D1 表达</x:v>
      </x:c>
      <x:c r="I265" s="20" t="str">
        <x:v>not captured</x:v>
      </x:c>
      <x:c r="J265" s="20" t="str">
        <x:v>not reported</x:v>
      </x:c>
      <x:c r="K265" s="20" t="str">
        <x:v>not reported</x:v>
      </x:c>
      <x:c r="L265" s="20" t="str">
        <x:v>Contextual mixture/formulation evidence</x:v>
      </x:c>
      <x:c r="M265" s="20" t="str">
        <x:v>Apoptosis/cell cycle</x:v>
      </x:c>
      <x:c r="N265" s="20" t="str">
        <x:v>40725071</x:v>
      </x:c>
      <x:c r="O265" s="20" t="str">
        <x:v>not available</x:v>
      </x:c>
      <x:c r="P265" s="20" t="str">
        <x:v>ellagic acid\264-40725071-the effect of the ethanolic extracts.pdf</x:v>
      </x:c>
      <x:c r="Q265" s="20" t="str">
        <x:v>not retained - incomplete bibliographic metadata</x:v>
      </x:c>
      <x:c r="R265" s="20" t="str">
        <x:v>Excluded: incomplete bibliographic title requiring verification</x:v>
      </x:c>
      <x:c r="S265" s="20" t="str">
        <x:v>2025</x:v>
      </x:c>
      <x:c r="T265" s="20" t="str">
        <x:v>2025/07/16</x:v>
      </x:c>
      <x:c r="U265" s="20" t="str">
        <x:v>ellagic acid</x:v>
      </x:c>
      <x:c r="V265" s="20" t="str">
        <x:v>1 在丁香 Syzygium aromaticum 的乙醇提取物中占 6.70%
2 在 nervosum 的种子乙醇提取物中占 3.06%</x:v>
      </x:c>
      <x:c r="W265" s="20" t="str">
        <x:v>Not established from supplied source field</x:v>
      </x:c>
      <x:c r="X265" s="20" t="str">
        <x:v>Generic botanical, dietary, computational, or unspecified association</x:v>
      </x:c>
      <x:c r="Y265" s="20" t="str">
        <x:v>PMID 40725071; not available</x:v>
      </x:c>
      <x:c r="Z265" s="20" t="str">
        <x:v>Not assessed for final attribution (excluded record)</x:v>
      </x:c>
      <x:c r="AA265" s="20" t="str">
        <x:v>Row-level annotation; deduplicate by PMID for final reference-level counts</x:v>
      </x:c>
    </x:row>
    <x:row r="266">
      <x:c r="A266" s="20" t="str">
        <x:v>ellagic acid</x:v>
      </x:c>
      <x:c r="B266" s="20" t="str">
        <x:v>Polyphenols</x:v>
      </x:c>
      <x:c r="C266" s="20" t="str">
        <x:v>葡萄和石榴</x:v>
      </x:c>
      <x:c r="D266" s="20" t="str">
        <x:v>DSS（葡聚糖硫酸钠）诱导的结肠炎小鼠模型，使用的是 12–16周龄雄性Swiss Webster小鼠</x:v>
      </x:c>
      <x:c r="E266" s="20" t="str">
        <x:v>In vivo</x:v>
      </x:c>
      <x:c r="F266" s="20" t="str">
        <x:v>not captured in source extraction</x:v>
      </x:c>
      <x:c r="G266" s="20" t="str">
        <x:v>促进caspase-3表达，激活细胞凋亡通路</x:v>
      </x:c>
      <x:c r="H266" s="20" t="str">
        <x:v>细胞凋亡增强，体重下降缓解，炎症相关癌变风险降低</x:v>
      </x:c>
      <x:c r="I266" s="20" t="str">
        <x:v>yes</x:v>
      </x:c>
      <x:c r="J266" s="20" t="str">
        <x:v>not reported</x:v>
      </x:c>
      <x:c r="K266" s="20" t="str">
        <x:v>not reported</x:v>
      </x:c>
      <x:c r="L266" s="20" t="str">
        <x:v>Contextual mixture/formulation evidence</x:v>
      </x:c>
      <x:c r="M266" s="20" t="str">
        <x:v>Apoptosis/cell cycle; NF-kB/STAT3/inflammation</x:v>
      </x:c>
      <x:c r="N266" s="20" t="str">
        <x:v>34900217</x:v>
      </x:c>
      <x:c r="O266" s="20" t="str">
        <x:v>not available</x:v>
      </x:c>
      <x:c r="P266" s="20" t="str">
        <x:v>ellagic acid\265-34900217-ethanol extract of pomegranate lt source int j inflam so 2021 2021 4919410.pdf</x:v>
      </x:c>
      <x:c r="Q266" s="20" t="str">
        <x:v>not retained - incomplete bibliographic metadata</x:v>
      </x:c>
      <x:c r="R266" s="20" t="str">
        <x:v>Excluded: no CRC-specific model or outcome extracted</x:v>
      </x:c>
      <x:c r="S266" s="20" t="str">
        <x:v>2021</x:v>
      </x:c>
      <x:c r="T266" s="20" t="str">
        <x:v>2021/12/02</x:v>
      </x:c>
      <x:c r="U266" s="20" t="str">
        <x:v>ellagic acid</x:v>
      </x:c>
      <x:c r="V266" s="20" t="str">
        <x:v>葡萄和石榴</x:v>
      </x:c>
      <x:c r="W266" s="20" t="str">
        <x:v>Not established from supplied source field</x:v>
      </x:c>
      <x:c r="X266" s="20" t="str">
        <x:v>Generic botanical, dietary, computational, or unspecified association</x:v>
      </x:c>
      <x:c r="Y266" s="20" t="str">
        <x:v>PMID 34900217; not available</x:v>
      </x:c>
      <x:c r="Z266" s="20" t="str">
        <x:v>Not assessed for final attribution (excluded record)</x:v>
      </x:c>
      <x:c r="AA266" s="20" t="str">
        <x:v>Row-level annotation; deduplicate by PMID for final reference-level counts</x:v>
      </x:c>
    </x:row>
    <x:row r="267">
      <x:c r="A267" s="20" t="str">
        <x:v>ellagic acid</x:v>
      </x:c>
      <x:c r="B267" s="20" t="str">
        <x:v>Polyphenols</x:v>
      </x:c>
      <x:c r="C267" s="20" t="str">
        <x:v>not reported</x:v>
      </x:c>
      <x:c r="D267" s="20" t="str">
        <x:v>体外细胞实验和体内小鼠模型，研究对象为结肠癌</x:v>
      </x:c>
      <x:c r="E267" s="20" t="str">
        <x:v>In vitro + in vivo</x:v>
      </x:c>
      <x:c r="F267" s="20" t="str">
        <x:v>not captured in source extraction</x:v>
      </x:c>
      <x:c r="G267" s="20" t="str">
        <x:v>1. 线粒体靶向与功能破坏：EA单元具有线粒体靶向性，促进药物在线粒体释放。
2. 活性氧（ROS）自循环：诱导内源性ROS爆发，形成ROS自循环，激活程序性细胞死亡。
3. 化学动力学治疗（CDT）协同：通过ROS生成参与CDT过程。</x:v>
      </x:c>
      <x:c r="H267" s="20" t="str">
        <x:v>1. 诱导线粒体功能障碍
2. 触发内源性ROS爆发
3. 激活程序性细胞死亡
4. 增强化疗协同效应</x:v>
      </x:c>
      <x:c r="I267" s="20" t="str">
        <x:v>not captured</x:v>
      </x:c>
      <x:c r="J267" s="20" t="str">
        <x:v>not reported</x:v>
      </x:c>
      <x:c r="K267" s="20" t="str">
        <x:v>not reported</x:v>
      </x:c>
      <x:c r="L267" s="20" t="str">
        <x:v>Level 1: animal-validated mechanistic evidence</x:v>
      </x:c>
      <x:c r="M267" s="20" t="str">
        <x:v>Apoptosis/cell cycle; ROS/ferroptosis</x:v>
      </x:c>
      <x:c r="N267" s="20" t="str">
        <x:v>40403808</x:v>
      </x:c>
      <x:c r="O267" s="20" t="str">
        <x:v>PMID40403808</x:v>
      </x:c>
      <x:c r="P267" s="20" t="str">
        <x:v>ellagic acid\266-40403808-a functionalized lignin dual network source int j biol macromol so 2025.pdf</x:v>
      </x:c>
      <x:c r="Q267" s="20" t="str">
        <x:v>A functionalized lignin dual network nanoplatform for enhanced cancer therapy by triggering reactive oxygen species self-circulation.</x:v>
      </x:c>
      <x:c r="R267" s="20" t="str">
        <x:v>Included</x:v>
      </x:c>
      <x:c r="S267" s="20" t="str">
        <x:v>2025</x:v>
      </x:c>
      <x:c r="T267" s="20" t="str">
        <x:v>2025/06/01</x:v>
      </x:c>
      <x:c r="U267" s="20" t="str">
        <x:v>ellagic acid</x:v>
      </x:c>
      <x:c r="V267" s="20" t="str">
        <x:v>not reported</x:v>
      </x:c>
      <x:c r="W267" s="20" t="str">
        <x:v>Not established from supplied source field</x:v>
      </x:c>
      <x:c r="X267" s="20" t="str">
        <x:v>Generic botanical, dietary, computational, or unspecified association</x:v>
      </x:c>
      <x:c r="Y267" s="20" t="str">
        <x:v>PMID 40403808; PMID40403808</x:v>
      </x:c>
      <x:c r="Z267" s="20" t="str">
        <x:v>Formulation/nanodelivery contextual evidence</x:v>
      </x:c>
      <x:c r="AA267" s="20" t="str">
        <x:v>Row-level annotation; deduplicate by PMID for final reference-level counts</x:v>
      </x:c>
    </x:row>
    <x:row r="268">
      <x:c r="A268" s="20" t="str">
        <x:v>syringic acid</x:v>
      </x:c>
      <x:c r="B268" s="20" t="str">
        <x:v>Phenolic acids</x:v>
      </x:c>
      <x:c r="C268" s="20" t="str">
        <x:v>植物 Tamarix aucheriana（阿拉伯传统药用植物）</x:v>
      </x:c>
      <x:c r="D268" s="20" t="str">
        <x:v>体外细胞实验模型，包括人结直肠癌细胞和正常成纤维细胞。</x:v>
      </x:c>
      <x:c r="E268" s="20" t="str">
        <x:v>In vitro</x:v>
      </x:c>
      <x:c r="F268" s="20" t="str">
        <x:v>not captured in source extraction</x:v>
      </x:c>
      <x:c r="G268" s="20" t="str">
        <x:v>NFκB信号通路抑制、26S蛋白酶体功能抑制、抗血管生成通路</x:v>
      </x:c>
      <x:c r="H268" s="20" t="str">
        <x:v>1. 显著抑制结直肠癌细胞增殖，具有时间和剂量依赖性
2. 诱导细胞周期阻滞于S/G2-M或G1/G2-M期
3. 促进癌细胞凋亡
4. 抑制26S蛋白酶体的多种酶活性
5. 抑制NFκB的DNA结合能力
6. 抑制肿瘤细胞侵袭和血管生成
7. 显著增强多种化疗药物的敏感性，表现出强效化学增敏作用</x:v>
      </x:c>
      <x:c r="I268" s="20" t="str">
        <x:v>not captured</x:v>
      </x:c>
      <x:c r="J268" s="20" t="str">
        <x:v>not reported</x:v>
      </x:c>
      <x:c r="K268" s="20" t="str">
        <x:v>not reported</x:v>
      </x:c>
      <x:c r="L268" s="20" t="str">
        <x:v>Level 3: cell-based mechanistic evidence</x:v>
      </x:c>
      <x:c r="M268" s="20" t="str">
        <x:v>Apoptosis/cell cycle; EMT/ECM/metastasis; Immune microenvironment</x:v>
      </x:c>
      <x:c r="N268" s="20" t="str">
        <x:v>23745612</x:v>
      </x:c>
      <x:c r="O268" s="20" t="str">
        <x:v>PMID23745612</x:v>
      </x:c>
      <x:c r="P268" s="20" t="str">
        <x:v>syringic acid\267-23745612-syringic acid from tamarix aucherian source pharm biol so 2013 sep 51 9 1110 24.pdf</x:v>
      </x:c>
      <x:c r="Q268" s="20" t="str">
        <x:v>Syringic acid from Tamarix aucheriana possesses antimitogenic and chemo-sensitizing activities in human colorectal cancer cells.</x:v>
      </x:c>
      <x:c r="R268" s="20" t="str">
        <x:v>Included</x:v>
      </x:c>
      <x:c r="S268" s="20" t="str">
        <x:v>2013</x:v>
      </x:c>
      <x:c r="T268" s="20" t="str">
        <x:v>2013/09/01</x:v>
      </x:c>
      <x:c r="U268" s="20" t="str">
        <x:v>syringic acid</x:v>
      </x:c>
      <x:c r="V268" s="20" t="str">
        <x:v>植物 Tamarix aucheriana（阿拉伯传统药用植物）</x:v>
      </x:c>
      <x:c r="W268" s="20" t="str">
        <x:v>Not established from supplied source field</x:v>
      </x:c>
      <x:c r="X268" s="20" t="str">
        <x:v>Generic botanical, dietary, computational, or unspecified association</x:v>
      </x:c>
      <x:c r="Y268" s="20" t="str">
        <x:v>PMID 23745612; PMID23745612</x:v>
      </x:c>
      <x:c r="Z268" s="20" t="str">
        <x:v>Purified isolated compound: syringic acid</x:v>
      </x:c>
      <x:c r="AA268" s="20" t="str">
        <x:v>Row-level annotation; deduplicate by PMID for final reference-level counts</x:v>
      </x:c>
    </x:row>
    <x:row r="269">
      <x:c r="A269" s="20" t="str">
        <x:v>syringic acid</x:v>
      </x:c>
      <x:c r="B269" s="20" t="str">
        <x:v>Phenolic acids</x:v>
      </x:c>
      <x:c r="C269" s="20" t="str">
        <x:v>白黑无花果乳胶</x:v>
      </x:c>
      <x:c r="D269" s="20" t="str">
        <x:v>体外细胞模型
宫颈癌细胞系
结直肠癌细胞系</x:v>
      </x:c>
      <x:c r="E269" s="20" t="str">
        <x:v>In vitro</x:v>
      </x:c>
      <x:c r="F269" s="20" t="str">
        <x:v>not captured in source extraction</x:v>
      </x:c>
      <x:c r="G269" s="20" t="str">
        <x:v>not reported</x:v>
      </x:c>
      <x:c r="H269" s="20" t="str">
        <x:v>抗氧化活性、 抗癌活性</x:v>
      </x:c>
      <x:c r="I269" s="20" t="str">
        <x:v>not captured</x:v>
      </x:c>
      <x:c r="J269" s="20" t="str">
        <x:v>not reported</x:v>
      </x:c>
      <x:c r="K269" s="20" t="str">
        <x:v>not reported</x:v>
      </x:c>
      <x:c r="L269" s="20" t="str">
        <x:v>Contextual mixture/formulation evidence</x:v>
      </x:c>
      <x:c r="M269" s="20" t="str">
        <x:v>ROS/ferroptosis</x:v>
      </x:c>
      <x:c r="N269" s="20" t="str">
        <x:v>39590517</x:v>
      </x:c>
      <x:c r="O269" s="20" t="str">
        <x:v>PMID39590517</x:v>
      </x:c>
      <x:c r="P269" s="20" t="str">
        <x:v>syringic acid\268-39590517-effect of in vitro digestion on anti source chem biodivers so 2024.pdf</x:v>
      </x:c>
      <x:c r="Q269" s="20" t="str">
        <x:v>Effect of In Vitro Digestion on Anticancer and Antioxidant Activity of Phenolic Extracts From Latex of Fig Fruit (Ficus carica L.).</x:v>
      </x:c>
      <x:c r="R269" s="20" t="str">
        <x:v>Included</x:v>
      </x:c>
      <x:c r="S269" s="20" t="str">
        <x:v>2025</x:v>
      </x:c>
      <x:c r="T269" s="20" t="str">
        <x:v>2025/04/01</x:v>
      </x:c>
      <x:c r="U269" s="20" t="str">
        <x:v>syringic acid</x:v>
      </x:c>
      <x:c r="V269" s="20" t="str">
        <x:v>白黑无花果乳胶</x:v>
      </x:c>
      <x:c r="W269" s="20" t="str">
        <x:v>Not established from supplied source field</x:v>
      </x:c>
      <x:c r="X269" s="20" t="str">
        <x:v>Generic botanical, dietary, computational, or unspecified association</x:v>
      </x:c>
      <x:c r="Y269" s="20" t="str">
        <x:v>PMID 39590517; PMID39590517</x:v>
      </x:c>
      <x:c r="Z269" s="20" t="str">
        <x:v>Extract/formula/decoction contextual evidence</x:v>
      </x:c>
      <x:c r="AA269" s="20" t="str">
        <x:v>Row-level annotation; deduplicate by PMID for final reference-level counts</x:v>
      </x:c>
    </x:row>
    <x:row r="270">
      <x:c r="A270" s="20" t="str">
        <x:v>sanguinarine</x:v>
      </x:c>
      <x:c r="B270" s="20" t="str">
        <x:v>Alkaloids</x:v>
      </x:c>
      <x:c r="C270" s="20" t="str">
        <x:v>天然生物碱</x:v>
      </x:c>
      <x:c r="D270" s="20" t="str">
        <x:v>体外和体内实验</x:v>
      </x:c>
      <x:c r="E270" s="20" t="str">
        <x:v>In vitro + in vivo</x:v>
      </x:c>
      <x:c r="F270" s="20" t="str">
        <x:v>not captured in source extraction</x:v>
      </x:c>
      <x:c r="G270" s="20" t="str">
        <x:v>mTOR, MAPK, EGFR, PI3K/AKT, NF-κB</x:v>
      </x:c>
      <x:c r="H270" s="20" t="str">
        <x:v>抑制肿瘤体积、抑制EMT、诱导凋亡与自噬、免疫调节</x:v>
      </x:c>
      <x:c r="I270" s="20" t="str">
        <x:v>not captured</x:v>
      </x:c>
      <x:c r="J270" s="20" t="str">
        <x:v>not reported</x:v>
      </x:c>
      <x:c r="K270" s="20" t="str">
        <x:v>not reported</x:v>
      </x:c>
      <x:c r="L270" s="20" t="str">
        <x:v>Level 1: animal-validated mechanistic evidence</x:v>
      </x:c>
      <x:c r="M270" s="20" t="str">
        <x:v>Apoptosis/cell cycle; PI3K/Akt/mTOR/metabolism; NF-kB/STAT3/inflammation; MAPK/JNK/ERK; EMT/ECM/metastasis; Immune microenvironment</x:v>
      </x:c>
      <x:c r="N270" s="20" t="str">
        <x:v>39125943</x:v>
      </x:c>
      <x:c r="O270" s="20" t="str">
        <x:v>PMID39125943</x:v>
      </x:c>
      <x:c r="P270" s="20" t="str">
        <x:v>sanguinarine\269-39125943-natural alkaloids in cancer therapy.pdf</x:v>
      </x:c>
      <x:c r="Q270" s="20" t="str">
        <x:v>Natural Alkaloids in Cancer Therapy: Berberine, Sanguinarine and Chelerythrine against Colorectal and Gastric Cancer.</x:v>
      </x:c>
      <x:c r="R270" s="20" t="str">
        <x:v>Included</x:v>
      </x:c>
      <x:c r="S270" s="20" t="str">
        <x:v>2024</x:v>
      </x:c>
      <x:c r="T270" s="20" t="str">
        <x:v>2024/07/31</x:v>
      </x:c>
      <x:c r="U270" s="20" t="str">
        <x:v>sanguinarine</x:v>
      </x:c>
      <x:c r="V270" s="20" t="str">
        <x:v>天然生物碱</x:v>
      </x:c>
      <x:c r="W270" s="20" t="str">
        <x:v>No—direct Chinese materia medica association not established in supplied sources</x:v>
      </x:c>
      <x:c r="X270" s="20" t="str">
        <x:v>Related natural-product evidence only</x:v>
      </x:c>
      <x:c r="Y270" s="20" t="str">
        <x:v>PMID 39125943; PMID39125943</x:v>
      </x:c>
      <x:c r="Z270" s="20" t="str">
        <x:v>Review/background evidence</x:v>
      </x:c>
      <x:c r="AA270" s="20" t="str">
        <x:v>Row-level annotation; deduplicate by PMID for final reference-level counts</x:v>
      </x:c>
    </x:row>
    <x:row r="271">
      <x:c r="A271" s="20" t="str">
        <x:v>sanguinarine</x:v>
      </x:c>
      <x:c r="B271" s="20" t="str">
        <x:v>Alkaloids</x:v>
      </x:c>
      <x:c r="C271" s="20" t="str">
        <x:v>植物</x:v>
      </x:c>
      <x:c r="D271" s="20" t="str">
        <x:v>SW620 和 HCT-116 细胞系（体外）</x:v>
      </x:c>
      <x:c r="E271" s="20" t="str">
        <x:v>In vitro</x:v>
      </x:c>
      <x:c r="F271" s="20" t="str">
        <x:v>Sanguinarine concentration series: SW620 0-2 µmol/L; HCT-116 0-3 µmol/L</x:v>
      </x:c>
      <x:c r="G271" s="20" t="str">
        <x:v>SAN → ↑STUB1 → ↓GPX4 → 铁死亡</x:v>
      </x:c>
      <x:c r="H271" s="20" t="str">
        <x:v>铁死亡</x:v>
      </x:c>
      <x:c r="I271" s="20" t="str">
        <x:v>not captured</x:v>
      </x:c>
      <x:c r="J271" s="20" t="str">
        <x:v>not reported</x:v>
      </x:c>
      <x:c r="K271" s="20" t="str">
        <x:v>not reported</x:v>
      </x:c>
      <x:c r="L271" s="20" t="str">
        <x:v>Level 3: cell-based mechanistic evidence</x:v>
      </x:c>
      <x:c r="M271" s="20" t="str">
        <x:v>ROS/ferroptosis</x:v>
      </x:c>
      <x:c r="N271" s="20" t="str">
        <x:v>39276049</x:v>
      </x:c>
      <x:c r="O271" s="20" t="str">
        <x:v>PMID39276049</x:v>
      </x:c>
      <x:c r="P271" s="20" t="str">
        <x:v>sanguinarine\270-39276049-sanguinarine induces ferroptosis of so nan fang yi ke da xue xue bao 2024 aug 20 44 8 1537 1544 doi 10 12122 j issn 1673 4254 2024 08 12.pdf</x:v>
      </x:c>
      <x:c r="Q271" s="20" t="str">
        <x:v>[Sanguinarine induces ferroptosis of colorectal cancer cells by upregulating STUB1 and downregulating GPX4].</x:v>
      </x:c>
      <x:c r="R271" s="20" t="str">
        <x:v>Included</x:v>
      </x:c>
      <x:c r="S271" s="20" t="str">
        <x:v>2024</x:v>
      </x:c>
      <x:c r="T271" s="20" t="str">
        <x:v>2024/08/20</x:v>
      </x:c>
      <x:c r="U271" s="20" t="str">
        <x:v>sanguinarine</x:v>
      </x:c>
      <x:c r="V271" s="20" t="str">
        <x:v>植物</x:v>
      </x:c>
      <x:c r="W271" s="20" t="str">
        <x:v>No—direct Chinese materia medica association not established in supplied sources</x:v>
      </x:c>
      <x:c r="X271" s="20" t="str">
        <x:v>Related natural-product evidence only</x:v>
      </x:c>
      <x:c r="Y271" s="20" t="str">
        <x:v>PMID 39276049; PMID39276049</x:v>
      </x:c>
      <x:c r="Z271" s="20" t="str">
        <x:v>Purified isolated compound: sanguinarine</x:v>
      </x:c>
      <x:c r="AA271" s="20" t="str">
        <x:v>Row-level annotation; deduplicate by PMID for final reference-level counts</x:v>
      </x:c>
    </x:row>
    <x:row r="272">
      <x:c r="A272" s="20" t="str">
        <x:v>sanguinarine</x:v>
      </x:c>
      <x:c r="B272" s="20" t="str">
        <x:v>Alkaloids</x:v>
      </x:c>
      <x:c r="C272" s="20" t="str">
        <x:v>Sanguinaria canadensis（北美血根草）</x:v>
      </x:c>
      <x:c r="D272" s="20" t="str">
        <x:v>体外实验</x:v>
      </x:c>
      <x:c r="E272" s="20" t="str">
        <x:v>In vitro</x:v>
      </x:c>
      <x:c r="F272" s="20" t="str">
        <x:v>not captured in source extraction</x:v>
      </x:c>
      <x:c r="G272" s="20" t="str">
        <x:v>PI3K/Akt/mTOR、RAS/RAF/MAPK、Wnt/β-catenin、TGF-β</x:v>
      </x:c>
      <x:c r="H272" s="20" t="str">
        <x:v>抑制癌细胞增殖、诱导凋亡</x:v>
      </x:c>
      <x:c r="I272" s="20" t="str">
        <x:v>not captured</x:v>
      </x:c>
      <x:c r="J272" s="20" t="str">
        <x:v>not reported</x:v>
      </x:c>
      <x:c r="K272" s="20" t="str">
        <x:v>not reported</x:v>
      </x:c>
      <x:c r="L272" s="20" t="str">
        <x:v>Level 3: cell-based mechanistic evidence</x:v>
      </x:c>
      <x:c r="M272" s="20" t="str">
        <x:v>Apoptosis/cell cycle; PI3K/Akt/mTOR/metabolism; Wnt/beta-catenin/stemness; MAPK/JNK/ERK</x:v>
      </x:c>
      <x:c r="N272" s="20" t="str">
        <x:v>40149916</x:v>
      </x:c>
      <x:c r="O272" s="20" t="str">
        <x:v>PMID40149916</x:v>
      </x:c>
      <x:c r="P272" s="20" t="str">
        <x:v>Astragaloside IV\291-40149916-interplay between traditional and sc source biomolecules so 2025.pdf</x:v>
      </x:c>
      <x:c r="Q272" s="20" t="str">
        <x:v>Interplay Between Traditional and Scientific Knowledge: Phytoconstituents and Their Roles in Lung and Colorectal Cancer Signaling Pathways.</x:v>
      </x:c>
      <x:c r="R272" s="20" t="str">
        <x:v>Included</x:v>
      </x:c>
      <x:c r="S272" s="20" t="str">
        <x:v>2025</x:v>
      </x:c>
      <x:c r="T272" s="20" t="str">
        <x:v>2025/03/05</x:v>
      </x:c>
      <x:c r="U272" s="20" t="str">
        <x:v>sanguinarine</x:v>
      </x:c>
      <x:c r="V272" s="20" t="str">
        <x:v>Sanguinaria canadensis（北美血根草）</x:v>
      </x:c>
      <x:c r="W272" s="20" t="str">
        <x:v>No—direct Chinese materia medica association not established in supplied sources</x:v>
      </x:c>
      <x:c r="X272" s="20" t="str">
        <x:v>Related natural-product evidence only</x:v>
      </x:c>
      <x:c r="Y272" s="20" t="str">
        <x:v>PMID 40149916; PMID40149916</x:v>
      </x:c>
      <x:c r="Z272" s="20" t="str">
        <x:v>Review/background evidence</x:v>
      </x:c>
      <x:c r="AA272" s="20" t="str">
        <x:v>Row-level annotation; deduplicate by PMID for final reference-level counts</x:v>
      </x:c>
    </x:row>
    <x:row r="273">
      <x:c r="A273" s="20" t="str">
        <x:v>sanguinarine</x:v>
      </x:c>
      <x:c r="B273" s="20" t="str">
        <x:v>Alkaloids</x:v>
      </x:c>
      <x:c r="C273" s="20" t="str">
        <x:v>传统草药</x:v>
      </x:c>
      <x:c r="D273" s="20" t="str">
        <x:v>计算模型（虚拟筛选、对接、动力学模拟等）</x:v>
      </x:c>
      <x:c r="E273" s="20" t="str">
        <x:v>Not specified</x:v>
      </x:c>
      <x:c r="F273" s="20" t="str">
        <x:v>not captured in source extraction</x:v>
      </x:c>
      <x:c r="G273" s="20" t="str">
        <x:v>MLK4</x:v>
      </x:c>
      <x:c r="H273" s="20" t="str">
        <x:v>not reported</x:v>
      </x:c>
      <x:c r="I273" s="20" t="str">
        <x:v>not captured</x:v>
      </x:c>
      <x:c r="J273" s="20" t="str">
        <x:v>not reported</x:v>
      </x:c>
      <x:c r="K273" s="20" t="str">
        <x:v>not reported</x:v>
      </x:c>
      <x:c r="L273" s="20" t="str">
        <x:v>Excluded: insufficient extractable evidence</x:v>
      </x:c>
      <x:c r="M273" s="20" t="str">
        <x:v>not assigned</x:v>
      </x:c>
      <x:c r="N273" s="20" t="str">
        <x:v>39298888</x:v>
      </x:c>
      <x:c r="O273" s="20" t="str">
        <x:v>PMID39298888</x:v>
      </x:c>
      <x:c r="P273" s="20" t="str">
        <x:v>sanguinarine\272-39298888-discovery of novel mlk4 inhibitors a source comput biol med so 2024.pdf</x:v>
      </x:c>
      <x:c r="Q273" s="20" t="str">
        <x:v>Discovery of novel MLK4 inhibitors against colorectal cancer through computational approaches.</x:v>
      </x:c>
      <x:c r="R273" s="20" t="str">
        <x:v>Excluded: insufficient extractable evidence</x:v>
      </x:c>
      <x:c r="S273" s="20" t="str">
        <x:v>2024</x:v>
      </x:c>
      <x:c r="T273" s="20" t="str">
        <x:v>2024/11/01</x:v>
      </x:c>
      <x:c r="U273" s="20" t="str">
        <x:v>sanguinarine</x:v>
      </x:c>
      <x:c r="V273" s="20" t="str">
        <x:v>传统草药</x:v>
      </x:c>
      <x:c r="W273" s="20" t="str">
        <x:v>No—direct Chinese materia medica association not established in supplied sources</x:v>
      </x:c>
      <x:c r="X273" s="20" t="str">
        <x:v>Related natural-product evidence only</x:v>
      </x:c>
      <x:c r="Y273" s="20" t="str">
        <x:v>PMID 39298888; PMID39298888</x:v>
      </x:c>
      <x:c r="Z273" s="20" t="str">
        <x:v>Not assessed for final attribution (excluded record)</x:v>
      </x:c>
      <x:c r="AA273" s="20" t="str">
        <x:v>Row-level annotation; deduplicate by PMID for final reference-level counts</x:v>
      </x:c>
    </x:row>
    <x:row r="274">
      <x:c r="A274" s="20" t="str">
        <x:v>sanguinarine</x:v>
      </x:c>
      <x:c r="B274" s="20" t="str">
        <x:v>Alkaloids</x:v>
      </x:c>
      <x:c r="C274" s="20" t="str">
        <x:v>加拿大血根菌</x:v>
      </x:c>
      <x:c r="D274" s="20" t="str">
        <x:v>体外模型：人结直肠癌（CRC）细胞
体内模型：HT-29 移植瘤小鼠模型</x:v>
      </x:c>
      <x:c r="E274" s="20" t="str">
        <x:v>In vitro + in vivo</x:v>
      </x:c>
      <x:c r="F274" s="20" t="str">
        <x:v>not captured in source extraction</x:v>
      </x:c>
      <x:c r="G274" s="20" t="str">
        <x:v>通过 ROS（特别是 H₂O₂）依赖性激活 KEAP1-PGAM5-AIFM1 信号轴</x:v>
      </x:c>
      <x:c r="H274" s="20" t="str">
        <x:v>诱导 oxeiptosis —— 一种由活性氧（ROS）触发、caspase 非依赖、非炎症性的程序性细胞死亡方式。</x:v>
      </x:c>
      <x:c r="I274" s="20" t="str">
        <x:v>not captured</x:v>
      </x:c>
      <x:c r="J274" s="20" t="str">
        <x:v>not reported</x:v>
      </x:c>
      <x:c r="K274" s="20" t="str">
        <x:v>not reported</x:v>
      </x:c>
      <x:c r="L274" s="20" t="str">
        <x:v>Level 1: animal-validated mechanistic evidence</x:v>
      </x:c>
      <x:c r="M274" s="20" t="str">
        <x:v>Apoptosis/cell cycle; NF-kB/STAT3/inflammation; ROS/ferroptosis</x:v>
      </x:c>
      <x:c r="N274" s="20" t="str">
        <x:v>36914635</x:v>
      </x:c>
      <x:c r="O274" s="20" t="str">
        <x:v>PMID36914635</x:v>
      </x:c>
      <x:c r="P274" s="20" t="str">
        <x:v>sanguinarine\273-36914635-targeting oxeiptosis mediated tumor source cell death discov so 2023.pdf</x:v>
      </x:c>
      <x:c r="Q274" s="20" t="str">
        <x:v>Targeting oxeiptosis-mediated tumor suppression: a novel approach to treat colorectal cancers by sanguinarine.</x:v>
      </x:c>
      <x:c r="R274" s="20" t="str">
        <x:v>Included</x:v>
      </x:c>
      <x:c r="S274" s="20" t="str">
        <x:v>2023</x:v>
      </x:c>
      <x:c r="T274" s="20" t="str">
        <x:v>2023/03/13</x:v>
      </x:c>
      <x:c r="U274" s="20" t="str">
        <x:v>sanguinarine</x:v>
      </x:c>
      <x:c r="V274" s="20" t="str">
        <x:v>加拿大血根菌</x:v>
      </x:c>
      <x:c r="W274" s="20" t="str">
        <x:v>No—direct Chinese materia medica association not established in supplied sources</x:v>
      </x:c>
      <x:c r="X274" s="20" t="str">
        <x:v>Related natural-product evidence only</x:v>
      </x:c>
      <x:c r="Y274" s="20" t="str">
        <x:v>PMID 36914635; PMID36914635</x:v>
      </x:c>
      <x:c r="Z274" s="20" t="str">
        <x:v>Purified isolated compound: sanguinarine</x:v>
      </x:c>
      <x:c r="AA274" s="20" t="str">
        <x:v>Row-level annotation; deduplicate by PMID for final reference-level counts</x:v>
      </x:c>
    </x:row>
    <x:row r="275">
      <x:c r="A275" s="20" t="str">
        <x:v>silibinin</x:v>
      </x:c>
      <x:c r="B275" s="20" t="str">
        <x:v>Flavonoids</x:v>
      </x:c>
      <x:c r="C275" s="20" t="str">
        <x:v>奶蓟草</x:v>
      </x:c>
      <x:c r="D275" s="20" t="str">
        <x:v>CT26 小鼠结肠癌细胞系（体外）</x:v>
      </x:c>
      <x:c r="E275" s="20" t="str">
        <x:v>In vitro + in vivo</x:v>
      </x:c>
      <x:c r="F275" s="20" t="str">
        <x:v>not captured in source extraction</x:v>
      </x:c>
      <x:c r="G275" s="20" t="str">
        <x:v>凋亡通路（Bcl-2/Bax/Caspase-3）、自噬通路（Atg5/7/BECN1）、HIF-1α/VEGF 血管生成通路、MMPs 介导的侵袭通路、趋化因子受体通路（CCR-2/CXCR-4）等</x:v>
      </x:c>
      <x:c r="H275" s="20" t="str">
        <x:v>抑制增殖、诱导凋亡与自噬、抑制血管生成、抑制迁移</x:v>
      </x:c>
      <x:c r="I275" s="20" t="str">
        <x:v>not captured</x:v>
      </x:c>
      <x:c r="J275" s="20" t="str">
        <x:v>not reported</x:v>
      </x:c>
      <x:c r="K275" s="20" t="str">
        <x:v>not reported</x:v>
      </x:c>
      <x:c r="L275" s="20" t="str">
        <x:v>Level 1: animal-validated mechanistic evidence</x:v>
      </x:c>
      <x:c r="M275" s="20" t="str">
        <x:v>Apoptosis/cell cycle; EMT/ECM/metastasis</x:v>
      </x:c>
      <x:c r="N275" s="20" t="str">
        <x:v>34059044</x:v>
      </x:c>
      <x:c r="O275" s="20" t="str">
        <x:v>PMID34059044</x:v>
      </x:c>
      <x:c r="P275" s="20" t="str">
        <x:v>silibinin\274-34059044-targeting the hallmarks of cancer t source bmc complement med ther so 2021 may 31 21 1 160.pdf</x:v>
      </x:c>
      <x:c r="Q275" s="20" t="str">
        <x:v>Targeting the hallmarks of cancer: the effects of silibinin on proliferation, cell death, angiogenesis, and migration in colorectal cancer.</x:v>
      </x:c>
      <x:c r="R275" s="20" t="str">
        <x:v>Included</x:v>
      </x:c>
      <x:c r="S275" s="20" t="str">
        <x:v>2021</x:v>
      </x:c>
      <x:c r="T275" s="20" t="str">
        <x:v>2021/05/31</x:v>
      </x:c>
      <x:c r="U275" s="20" t="str">
        <x:v>silibinin</x:v>
      </x:c>
      <x:c r="V275" s="20" t="str">
        <x:v>奶蓟草</x:v>
      </x:c>
      <x:c r="W275" s="20" t="str">
        <x:v>Not established from supplied source field</x:v>
      </x:c>
      <x:c r="X275" s="20" t="str">
        <x:v>Generic botanical, dietary, computational, or unspecified association</x:v>
      </x:c>
      <x:c r="Y275" s="20" t="str">
        <x:v>PMID 34059044; PMID34059044</x:v>
      </x:c>
      <x:c r="Z275" s="20" t="str">
        <x:v>Purified isolated compound: silibinin</x:v>
      </x:c>
      <x:c r="AA275" s="20" t="str">
        <x:v>Row-level annotation; deduplicate by PMID for final reference-level counts</x:v>
      </x:c>
    </x:row>
    <x:row r="276">
      <x:c r="A276" s="20" t="str">
        <x:v>silibinin</x:v>
      </x:c>
      <x:c r="B276" s="20" t="str">
        <x:v>Flavonoids</x:v>
      </x:c>
      <x:c r="C276" s="20" t="str">
        <x:v>奶蓟草</x:v>
      </x:c>
      <x:c r="D276" s="20" t="str">
        <x:v>not reported</x:v>
      </x:c>
      <x:c r="E276" s="20" t="str">
        <x:v>Not specified</x:v>
      </x:c>
      <x:c r="F276" s="20" t="str">
        <x:v>not captured in source extraction</x:v>
      </x:c>
      <x:c r="G276" s="20" t="str">
        <x:v>EGFR → PI3K/Akt → GSK-3β → β-catenin 抑制</x:v>
      </x:c>
      <x:c r="H276" s="20" t="str">
        <x:v>抑制 β-catenin 信号上调，防止结直肠上皮癌变</x:v>
      </x:c>
      <x:c r="I276" s="20" t="str">
        <x:v>not captured</x:v>
      </x:c>
      <x:c r="J276" s="20" t="str">
        <x:v>not reported</x:v>
      </x:c>
      <x:c r="K276" s="20" t="str">
        <x:v>not reported</x:v>
      </x:c>
      <x:c r="L276" s="20" t="str">
        <x:v>Excluded: insufficient extractable evidence</x:v>
      </x:c>
      <x:c r="M276" s="20" t="str">
        <x:v>PI3K/Akt/mTOR/metabolism; Wnt/beta-catenin/stemness</x:v>
      </x:c>
      <x:c r="N276" s="20" t="str">
        <x:v>37481200</x:v>
      </x:c>
      <x:c r="O276" s="20" t="str">
        <x:v>PMID37481200</x:v>
      </x:c>
      <x:c r="P276" s="20" t="str">
        <x:v>silibinin\275-37481200-targeting beta catenin signaling for source eur j pharmacol so 2023.pdf</x:v>
      </x:c>
      <x:c r="Q276" s="20" t="str">
        <x:v>Targeting beta-catenin signaling for prevention of colorectal cancer - Nutraceutical, drug, and dietary options.</x:v>
      </x:c>
      <x:c r="R276" s="20" t="str">
        <x:v>Excluded: insufficient extractable evidence</x:v>
      </x:c>
      <x:c r="S276" s="20" t="str">
        <x:v>2023</x:v>
      </x:c>
      <x:c r="T276" s="20" t="str">
        <x:v>2023/10/05</x:v>
      </x:c>
      <x:c r="U276" s="20" t="str">
        <x:v>silibinin</x:v>
      </x:c>
      <x:c r="V276" s="20" t="str">
        <x:v>奶蓟草</x:v>
      </x:c>
      <x:c r="W276" s="20" t="str">
        <x:v>Not established from supplied source field</x:v>
      </x:c>
      <x:c r="X276" s="20" t="str">
        <x:v>Generic botanical, dietary, computational, or unspecified association</x:v>
      </x:c>
      <x:c r="Y276" s="20" t="str">
        <x:v>PMID 37481200; PMID37481200</x:v>
      </x:c>
      <x:c r="Z276" s="20" t="str">
        <x:v>Not assessed for final attribution (excluded record)</x:v>
      </x:c>
      <x:c r="AA276" s="20" t="str">
        <x:v>Row-level annotation; deduplicate by PMID for final reference-level counts</x:v>
      </x:c>
    </x:row>
    <x:row r="277">
      <x:c r="A277" s="20" t="str">
        <x:v>silibinin</x:v>
      </x:c>
      <x:c r="B277" s="20" t="str">
        <x:v>Flavonoids</x:v>
      </x:c>
      <x:c r="C277" s="20" t="str">
        <x:v>水飞蓟</x:v>
      </x:c>
      <x:c r="D277" s="20" t="str">
        <x:v>SW480、HT29 和 LoVo 细胞系的 CSC；
NOD/SCID 小鼠</x:v>
      </x:c>
      <x:c r="E277" s="20" t="str">
        <x:v>In vitro + in vivo</x:v>
      </x:c>
      <x:c r="F277" s="20" t="str">
        <x:v>not captured in source extraction</x:v>
      </x:c>
      <x:c r="G277" s="20" t="str">
        <x:v>↓IL-4 /-6 致癌信号转导 ↓结肠圈形成 ↓Lgr5、ASCL2、CD44、CD133、Oct-4、Nanog、MSI-1 和 Bmi-1</x:v>
      </x:c>
      <x:c r="H277" s="20" t="str">
        <x:v>↓CSCs 的肿瘤发生性和肿瘤生长</x:v>
      </x:c>
      <x:c r="I277" s="20" t="str">
        <x:v>not captured</x:v>
      </x:c>
      <x:c r="J277" s="20" t="str">
        <x:v>not reported</x:v>
      </x:c>
      <x:c r="K277" s="20" t="str">
        <x:v>not reported</x:v>
      </x:c>
      <x:c r="L277" s="20" t="str">
        <x:v>Level 1: animal-validated mechanistic evidence</x:v>
      </x:c>
      <x:c r="M277" s="20" t="str">
        <x:v>Wnt/beta-catenin/stemness</x:v>
      </x:c>
      <x:c r="N277" s="20" t="str">
        <x:v>36375238</x:v>
      </x:c>
      <x:c r="O277" s="20" t="str">
        <x:v>PMID36375238</x:v>
      </x:c>
      <x:c r="P277" s="20" t="str">
        <x:v>caffeic acid\240-36375238-targeting cancer stem cells and sign source phytomedicine so 2023.pdf</x:v>
      </x:c>
      <x:c r="Q277" s="20" t="str">
        <x:v>Targeting cancer stem cells and signalling pathways through phytochemicals: A promising approach against colorectal cancer.</x:v>
      </x:c>
      <x:c r="R277" s="20" t="str">
        <x:v>Included</x:v>
      </x:c>
      <x:c r="S277" s="20" t="str">
        <x:v>2023</x:v>
      </x:c>
      <x:c r="T277" s="20" t="str">
        <x:v>2023/01/01</x:v>
      </x:c>
      <x:c r="U277" s="20" t="str">
        <x:v>silibinin</x:v>
      </x:c>
      <x:c r="V277" s="20" t="str">
        <x:v>水飞蓟</x:v>
      </x:c>
      <x:c r="W277" s="20" t="str">
        <x:v>Not established from supplied source field</x:v>
      </x:c>
      <x:c r="X277" s="20" t="str">
        <x:v>Generic botanical, dietary, computational, or unspecified association</x:v>
      </x:c>
      <x:c r="Y277" s="20" t="str">
        <x:v>PMID 36375238; PMID36375238</x:v>
      </x:c>
      <x:c r="Z277" s="20" t="str">
        <x:v>Review/background evidence</x:v>
      </x:c>
      <x:c r="AA277" s="20" t="str">
        <x:v>Row-level annotation; deduplicate by PMID for final reference-level counts</x:v>
      </x:c>
    </x:row>
    <x:row r="278">
      <x:c r="A278" s="20" t="str">
        <x:v>silibinin</x:v>
      </x:c>
      <x:c r="B278" s="20" t="str">
        <x:v>Flavonoids</x:v>
      </x:c>
      <x:c r="C278" s="20" t="str">
        <x:v>水飞蓟</x:v>
      </x:c>
      <x:c r="D278" s="20" t="str">
        <x:v>AOM/DSS 小鼠模型 + CCD-18Co/SW480/RKO 细胞共培养</x:v>
      </x:c>
      <x:c r="E278" s="20" t="str">
        <x:v>In vitro + in vivo</x:v>
      </x:c>
      <x:c r="F278" s="20" t="str">
        <x:v>not captured in source extraction</x:v>
      </x:c>
      <x:c r="G278" s="20" t="str">
        <x:v>↓ α-SMA、↓ POSTN</x:v>
      </x:c>
      <x:c r="H278" s="20" t="str">
        <x:v>抑制 CAF 活化、增殖、克隆形成、迁移</x:v>
      </x:c>
      <x:c r="I278" s="20" t="str">
        <x:v>not captured</x:v>
      </x:c>
      <x:c r="J278" s="20" t="str">
        <x:v>not reported</x:v>
      </x:c>
      <x:c r="K278" s="20" t="str">
        <x:v>not reported</x:v>
      </x:c>
      <x:c r="L278" s="20" t="str">
        <x:v>Level 1: animal-validated mechanistic evidence</x:v>
      </x:c>
      <x:c r="M278" s="20" t="str">
        <x:v>EMT/ECM/metastasis</x:v>
      </x:c>
      <x:c r="N278" s="20" t="str">
        <x:v>40242441</x:v>
      </x:c>
      <x:c r="O278" s="20" t="str">
        <x:v>PMID40242441</x:v>
      </x:c>
      <x:c r="P278" s="20" t="str">
        <x:v>silibinin\277-40242441-therapeutic potential and mechanisti pharmacol so 2025.pdf</x:v>
      </x:c>
      <x:c r="Q278" s="20" t="str">
        <x:v>Therapeutic potential and mechanistic insights of silibinin targeting cancer-associated fibroblasts in colorectal cancer.</x:v>
      </x:c>
      <x:c r="R278" s="20" t="str">
        <x:v>Included</x:v>
      </x:c>
      <x:c r="S278" s="20" t="str">
        <x:v>2025</x:v>
      </x:c>
      <x:c r="T278" s="20" t="str">
        <x:v>2025/04/02</x:v>
      </x:c>
      <x:c r="U278" s="20" t="str">
        <x:v>silibinin</x:v>
      </x:c>
      <x:c r="V278" s="20" t="str">
        <x:v>水飞蓟</x:v>
      </x:c>
      <x:c r="W278" s="20" t="str">
        <x:v>Not established from supplied source field</x:v>
      </x:c>
      <x:c r="X278" s="20" t="str">
        <x:v>Generic botanical, dietary, computational, or unspecified association</x:v>
      </x:c>
      <x:c r="Y278" s="20" t="str">
        <x:v>PMID 40242441; PMID40242441</x:v>
      </x:c>
      <x:c r="Z278" s="20" t="str">
        <x:v>Purified isolated compound: silibinin</x:v>
      </x:c>
      <x:c r="AA278" s="20" t="str">
        <x:v>Row-level annotation; deduplicate by PMID for final reference-level counts</x:v>
      </x:c>
    </x:row>
    <x:row r="279">
      <x:c r="A279" s="20" t="str">
        <x:v>silibinin</x:v>
      </x:c>
      <x:c r="B279" s="20" t="str">
        <x:v>Flavonoids</x:v>
      </x:c>
      <x:c r="C279" s="20" t="str">
        <x:v>水飞蓟</x:v>
      </x:c>
      <x:c r="D279" s="20" t="str">
        <x:v>体内：使用 DMH 诱导的雄性 Wistar 大鼠结肠肿瘤模型。</x:v>
      </x:c>
      <x:c r="E279" s="20" t="str">
        <x:v>In vivo</x:v>
      </x:c>
      <x:c r="F279" s="20" t="str">
        <x:v>not captured in source extraction</x:v>
      </x:c>
      <x:c r="G279" s="20" t="str">
        <x:v>Wnt/β-catenin 信号通路</x:v>
      </x:c>
      <x:c r="H279" s="20" t="str">
        <x:v>抑制结肠肿瘤的发生和发展</x:v>
      </x:c>
      <x:c r="I279" s="20" t="str">
        <x:v>yes</x:v>
      </x:c>
      <x:c r="J279" s="20" t="str">
        <x:v>not reported</x:v>
      </x:c>
      <x:c r="K279" s="20" t="str">
        <x:v>not reported</x:v>
      </x:c>
      <x:c r="L279" s="20" t="str">
        <x:v>Level 2: in vivo evidence</x:v>
      </x:c>
      <x:c r="M279" s="20" t="str">
        <x:v>Wnt/beta-catenin/stemness</x:v>
      </x:c>
      <x:c r="N279" s="20" t="str">
        <x:v>33596716</x:v>
      </x:c>
      <x:c r="O279" s="20" t="str">
        <x:v>PMID33596716</x:v>
      </x:c>
      <x:c r="P279" s="20" t="str">
        <x:v>silibinin\278-33596716-modulation of the canonical wnt signaling pathway by dietary polyphenols an opportunity.pdf</x:v>
      </x:c>
      <x:c r="Q279" s="20" t="str">
        <x:v>Modulation of the Canonical Wnt Signaling Pathway by Dietary Polyphenols, an Opportunity for Colorectal Cancer Chemoprevention and Treatment.</x:v>
      </x:c>
      <x:c r="R279" s="20" t="str">
        <x:v>Included</x:v>
      </x:c>
      <x:c r="S279" s="20" t="str">
        <x:v>2022</x:v>
      </x:c>
      <x:c r="T279" s="20" t="str">
        <x:v>2022/01/01</x:v>
      </x:c>
      <x:c r="U279" s="20" t="str">
        <x:v>silibinin</x:v>
      </x:c>
      <x:c r="V279" s="20" t="str">
        <x:v>水飞蓟</x:v>
      </x:c>
      <x:c r="W279" s="20" t="str">
        <x:v>Not established from supplied source field</x:v>
      </x:c>
      <x:c r="X279" s="20" t="str">
        <x:v>Generic botanical, dietary, computational, or unspecified association</x:v>
      </x:c>
      <x:c r="Y279" s="20" t="str">
        <x:v>PMID 33596716; PMID33596716</x:v>
      </x:c>
      <x:c r="Z279" s="20" t="str">
        <x:v>Review/background evidence</x:v>
      </x:c>
      <x:c r="AA279" s="20" t="str">
        <x:v>Row-level annotation; deduplicate by PMID for final reference-level counts</x:v>
      </x:c>
    </x:row>
    <x:row r="280">
      <x:c r="A280" s="20" t="str">
        <x:v>silibinin</x:v>
      </x:c>
      <x:c r="B280" s="20" t="str">
        <x:v>Flavonoids</x:v>
      </x:c>
      <x:c r="C280" s="20" t="str">
        <x:v>牛奶蓟（milk thistle）</x:v>
      </x:c>
      <x:c r="D280" s="20" t="str">
        <x:v>细胞系：SW480 人结肠癌细胞
对照细胞：人正常细胞
实验类型：体外（in-vitro）细胞实验</x:v>
      </x:c>
      <x:c r="E280" s="20" t="str">
        <x:v>In vitro</x:v>
      </x:c>
      <x:c r="F280" s="20" t="str">
        <x:v>not captured in source extraction</x:v>
      </x:c>
      <x:c r="G280" s="20" t="str">
        <x:v>Bax/Bcl-2 线粒体凋亡通路、p53 信号通路、细胞周期调控通路</x:v>
      </x:c>
      <x:c r="H280" s="20" t="str">
        <x:v>抑制癌细胞增殖、诱导细胞凋亡、引起细胞周期阻滞、对正常细胞无显著毒性（选择性杀伤）</x:v>
      </x:c>
      <x:c r="I280" s="20" t="str">
        <x:v>not captured</x:v>
      </x:c>
      <x:c r="J280" s="20" t="str">
        <x:v>not reported</x:v>
      </x:c>
      <x:c r="K280" s="20" t="str">
        <x:v>not reported</x:v>
      </x:c>
      <x:c r="L280" s="20" t="str">
        <x:v>Level 3: cell-based mechanistic evidence</x:v>
      </x:c>
      <x:c r="M280" s="20" t="str">
        <x:v>Apoptosis/cell cycle</x:v>
      </x:c>
      <x:c r="N280" s="20" t="str">
        <x:v>39068589</x:v>
      </x:c>
      <x:c r="O280" s="20" t="str">
        <x:v>PMID39068589</x:v>
      </x:c>
      <x:c r="P280" s="20" t="str">
        <x:v>silibinin\279-39068589-synthesis characterization and in source asian pac j cancer prev so 2024.pdf</x:v>
      </x:c>
      <x:c r="Q280" s="20" t="str">
        <x:v>Synthesis, Characterization, and In-Vitro Evaluation of Silibinin-loaded PEGylated Niosomal Nanoparticles: Potential Anti-Cancer Effects on SW480 Colon Cancer Cells.</x:v>
      </x:c>
      <x:c r="R280" s="20" t="str">
        <x:v>Included</x:v>
      </x:c>
      <x:c r="S280" s="20" t="str">
        <x:v>2024</x:v>
      </x:c>
      <x:c r="T280" s="20" t="str">
        <x:v>2024/07/01</x:v>
      </x:c>
      <x:c r="U280" s="20" t="str">
        <x:v>silibinin</x:v>
      </x:c>
      <x:c r="V280" s="20" t="str">
        <x:v>牛奶蓟（milk thistle）</x:v>
      </x:c>
      <x:c r="W280" s="20" t="str">
        <x:v>Not established from supplied source field</x:v>
      </x:c>
      <x:c r="X280" s="20" t="str">
        <x:v>Generic botanical, dietary, computational, or unspecified association</x:v>
      </x:c>
      <x:c r="Y280" s="20" t="str">
        <x:v>PMID 39068589; PMID39068589</x:v>
      </x:c>
      <x:c r="Z280" s="20" t="str">
        <x:v>Formulation/nanodelivery contextual evidence</x:v>
      </x:c>
      <x:c r="AA280" s="20" t="str">
        <x:v>Row-level annotation; deduplicate by PMID for final reference-level counts</x:v>
      </x:c>
    </x:row>
    <x:row r="281">
      <x:c r="A281" s="20" t="str">
        <x:v>silibinin</x:v>
      </x:c>
      <x:c r="B281" s="20" t="str">
        <x:v>Flavonoids</x:v>
      </x:c>
      <x:c r="C281" s="20" t="str">
        <x:v>水飞蓟</x:v>
      </x:c>
      <x:c r="D281" s="20" t="str">
        <x:v>C26（小鼠）、HT29（人源）结直肠癌细胞；正常细胞对照；体外模型</x:v>
      </x:c>
      <x:c r="E281" s="20" t="str">
        <x:v>In vitro + in vivo</x:v>
      </x:c>
      <x:c r="F281" s="20" t="str">
        <x:v>not captured in source extraction</x:v>
      </x:c>
      <x:c r="G281" s="20" t="str">
        <x:v>X</x:v>
      </x:c>
      <x:c r="H281" s="20" t="str">
        <x:v>抑制增殖、诱导早期凋亡（非坏死）、持续释放、靶向递送</x:v>
      </x:c>
      <x:c r="I281" s="20" t="str">
        <x:v>not captured</x:v>
      </x:c>
      <x:c r="J281" s="20" t="str">
        <x:v>not reported</x:v>
      </x:c>
      <x:c r="K281" s="20" t="str">
        <x:v>not reported</x:v>
      </x:c>
      <x:c r="L281" s="20" t="str">
        <x:v>Level 1: animal-validated mechanistic evidence</x:v>
      </x:c>
      <x:c r="M281" s="20" t="str">
        <x:v>Apoptosis/cell cycle; Immune microenvironment</x:v>
      </x:c>
      <x:c r="N281" s="20" t="str">
        <x:v>38898204</x:v>
      </x:c>
      <x:c r="O281" s="20" t="str">
        <x:v>PMID38898204</x:v>
      </x:c>
      <x:c r="P281" s="20" t="str">
        <x:v>silibinin\280-38898204-development optimization and in vi source aaps pharmscitech so 2024.pdf</x:v>
      </x:c>
      <x:c r="Q281" s="20" t="str">
        <x:v>Development, Optimization, and in vitro Evaluation of Silybin-loaded PLGA Nanoparticles and Decoration with 5TR1 Aptamer for Targeted Delivery to Colorectal Cancer Cells.</x:v>
      </x:c>
      <x:c r="R281" s="20" t="str">
        <x:v>Included</x:v>
      </x:c>
      <x:c r="S281" s="20" t="str">
        <x:v>2024</x:v>
      </x:c>
      <x:c r="T281" s="20" t="str">
        <x:v>2024/06/19</x:v>
      </x:c>
      <x:c r="U281" s="20" t="str">
        <x:v>silibinin</x:v>
      </x:c>
      <x:c r="V281" s="20" t="str">
        <x:v>水飞蓟</x:v>
      </x:c>
      <x:c r="W281" s="20" t="str">
        <x:v>Not established from supplied source field</x:v>
      </x:c>
      <x:c r="X281" s="20" t="str">
        <x:v>Generic botanical, dietary, computational, or unspecified association</x:v>
      </x:c>
      <x:c r="Y281" s="20" t="str">
        <x:v>PMID 38898204; PMID38898204</x:v>
      </x:c>
      <x:c r="Z281" s="20" t="str">
        <x:v>Formulation/nanodelivery contextual evidence</x:v>
      </x:c>
      <x:c r="AA281" s="20" t="str">
        <x:v>Row-level annotation; deduplicate by PMID for final reference-level counts</x:v>
      </x:c>
    </x:row>
    <x:row r="282">
      <x:c r="A282" s="20" t="str">
        <x:v>silibinin</x:v>
      </x:c>
      <x:c r="B282" s="20" t="str">
        <x:v>Flavonoids</x:v>
      </x:c>
      <x:c r="C282" s="20" t="str">
        <x:v>奶蓟草</x:v>
      </x:c>
      <x:c r="D282" s="20" t="str">
        <x:v>not reported</x:v>
      </x:c>
      <x:c r="E282" s="20" t="str">
        <x:v>Not specified</x:v>
      </x:c>
      <x:c r="F282" s="20" t="str">
        <x:v>not captured in source extraction</x:v>
      </x:c>
      <x:c r="G282" s="20" t="str">
        <x:v>抑制 PI3K/Akt、NF-κB、Wnt/β-catenin、MAPK 等致癌通路</x:v>
      </x:c>
      <x:c r="H282" s="20" t="str">
        <x:v>抗氧化、抗炎、抗增殖、促凋亡、抗转移、抗血管生成</x:v>
      </x:c>
      <x:c r="I282" s="20" t="str">
        <x:v>not captured</x:v>
      </x:c>
      <x:c r="J282" s="20" t="str">
        <x:v>not reported</x:v>
      </x:c>
      <x:c r="K282" s="20" t="str">
        <x:v>not reported</x:v>
      </x:c>
      <x:c r="L282" s="20" t="str">
        <x:v>Excluded: insufficient extractable evidence</x:v>
      </x:c>
      <x:c r="M282" s="20" t="str">
        <x:v>Apoptosis/cell cycle; PI3K/Akt/mTOR/metabolism; Wnt/beta-catenin/stemness; NF-kB/STAT3/inflammation; MAPK/JNK/ERK; ROS/ferroptosis; EMT/ECM/metastasis</x:v>
      </x:c>
      <x:c r="N282" s="20" t="str">
        <x:v>38487172</x:v>
      </x:c>
      <x:c r="O282" s="20" t="str">
        <x:v>PMID38487172</x:v>
      </x:c>
      <x:c r="P282" s="20" t="str">
        <x:v>silibinin\281-38487172-a comprehensive evaluation of the thpharmacol.pdf</x:v>
      </x:c>
      <x:c r="Q282" s="20" t="str">
        <x:v>A comprehensive evaluation of the therapeutic potential of silibinin: a ray of hope in cancer treatment.</x:v>
      </x:c>
      <x:c r="R282" s="20" t="str">
        <x:v>Excluded: no CRC-specific model or outcome extracted</x:v>
      </x:c>
      <x:c r="S282" s="20" t="str">
        <x:v>2024</x:v>
      </x:c>
      <x:c r="T282" s="20" t="str">
        <x:v>2024/02/29</x:v>
      </x:c>
      <x:c r="U282" s="20" t="str">
        <x:v>silibinin</x:v>
      </x:c>
      <x:c r="V282" s="20" t="str">
        <x:v>奶蓟草</x:v>
      </x:c>
      <x:c r="W282" s="20" t="str">
        <x:v>Not established from supplied source field</x:v>
      </x:c>
      <x:c r="X282" s="20" t="str">
        <x:v>Generic botanical, dietary, computational, or unspecified association</x:v>
      </x:c>
      <x:c r="Y282" s="20" t="str">
        <x:v>PMID 38487172; PMID38487172</x:v>
      </x:c>
      <x:c r="Z282" s="20" t="str">
        <x:v>Not assessed for final attribution (excluded record)</x:v>
      </x:c>
      <x:c r="AA282" s="20" t="str">
        <x:v>Row-level annotation; deduplicate by PMID for final reference-level counts</x:v>
      </x:c>
    </x:row>
    <x:row r="283">
      <x:c r="A283" s="20" t="str">
        <x:v>silibinin</x:v>
      </x:c>
      <x:c r="B283" s="20" t="str">
        <x:v>Flavonoids</x:v>
      </x:c>
      <x:c r="C283" s="20" t="str">
        <x:v>奶蓟</x:v>
      </x:c>
      <x:c r="D283" s="20" t="str">
        <x:v>DLD-1 结肠癌细胞系。</x:v>
      </x:c>
      <x:c r="E283" s="20" t="str">
        <x:v>In vitro</x:v>
      </x:c>
      <x:c r="F283" s="20" t="str">
        <x:v>not captured in source extraction</x:v>
      </x:c>
      <x:c r="G283" s="20" t="str">
        <x:v>not reported</x:v>
      </x:c>
      <x:c r="H283" s="20" t="str">
        <x:v>与 curcumin 联用时，显著抑制结肠癌细胞的增殖</x:v>
      </x:c>
      <x:c r="I283" s="20" t="str">
        <x:v>not captured</x:v>
      </x:c>
      <x:c r="J283" s="20" t="str">
        <x:v>not reported</x:v>
      </x:c>
      <x:c r="K283" s="20" t="str">
        <x:v>not reported</x:v>
      </x:c>
      <x:c r="L283" s="20" t="str">
        <x:v>Level 3: cell-based mechanistic evidence</x:v>
      </x:c>
      <x:c r="M283" s="20" t="str">
        <x:v>not assigned</x:v>
      </x:c>
      <x:c r="N283" s="20" t="str">
        <x:v>35966396</x:v>
      </x:c>
      <x:c r="O283" s="20" t="str">
        <x:v>PMID35966396</x:v>
      </x:c>
      <x:c r="P283" s="20" t="str">
        <x:v>silibinin\282-35966396-curcumin but not its degradation pr source micropubl biol so 2022.pdf</x:v>
      </x:c>
      <x:c r="Q283" s="20" t="str">
        <x:v>Curcumin, but not its degradation products, in combination with silibinin is primarily responsible for the inhibition of colon cancer cell proliferation.</x:v>
      </x:c>
      <x:c r="R283" s="20" t="str">
        <x:v>Included</x:v>
      </x:c>
      <x:c r="S283" s="20" t="str">
        <x:v>2022</x:v>
      </x:c>
      <x:c r="T283" s="20" t="str">
        <x:v>2022/07/28</x:v>
      </x:c>
      <x:c r="U283" s="20" t="str">
        <x:v>silibinin</x:v>
      </x:c>
      <x:c r="V283" s="20" t="str">
        <x:v>奶蓟</x:v>
      </x:c>
      <x:c r="W283" s="20" t="str">
        <x:v>Not established from supplied source field</x:v>
      </x:c>
      <x:c r="X283" s="20" t="str">
        <x:v>Generic botanical, dietary, computational, or unspecified association</x:v>
      </x:c>
      <x:c r="Y283" s="20" t="str">
        <x:v>PMID 35966396; PMID35966396</x:v>
      </x:c>
      <x:c r="Z283" s="20" t="str">
        <x:v>Multi-compound combination contextual evidence</x:v>
      </x:c>
      <x:c r="AA283" s="20" t="str">
        <x:v>Row-level annotation; deduplicate by PMID for final reference-level counts</x:v>
      </x:c>
    </x:row>
    <x:row r="284">
      <x:c r="A284" s="20" t="str">
        <x:v>silibinin</x:v>
      </x:c>
      <x:c r="B284" s="20" t="str">
        <x:v>Flavonoids</x:v>
      </x:c>
      <x:c r="C284" s="20" t="str">
        <x:v>水飞蓟（Silybum marianum）种子提取物</x:v>
      </x:c>
      <x:c r="D284" s="20" t="str">
        <x:v>体外细胞模型 和 抗菌功能测试模型</x:v>
      </x:c>
      <x:c r="E284" s="20" t="str">
        <x:v>In vitro</x:v>
      </x:c>
      <x:c r="F284" s="20" t="str">
        <x:v>not captured in source extraction</x:v>
      </x:c>
      <x:c r="G284" s="20" t="str">
        <x:v>not reported</x:v>
      </x:c>
      <x:c r="H284" s="20" t="str">
        <x:v>1 抑制结肠癌细胞增殖 HT 29
2 与金纳米颗粒 AuNPs 产生协同抗肿瘤效应 增强对肿瘤细胞的杀伤力
3 在健康皮肤细胞中显示极低毒性 具有良好的生物相容性
4 实现可控释放 延长药物作用时间
5 增强整体系统的抗菌活性 间接归因于 silibinin 与 AuNPs 的协同</x:v>
      </x:c>
      <x:c r="I284" s="20" t="str">
        <x:v>not captured</x:v>
      </x:c>
      <x:c r="J284" s="20" t="str">
        <x:v>not reported</x:v>
      </x:c>
      <x:c r="K284" s="20" t="str">
        <x:v>not reported</x:v>
      </x:c>
      <x:c r="L284" s="20" t="str">
        <x:v>Level 3: cell-based mechanistic evidence</x:v>
      </x:c>
      <x:c r="M284" s="20" t="str">
        <x:v>ROS/ferroptosis</x:v>
      </x:c>
      <x:c r="N284" s="20" t="str">
        <x:v>40712877</x:v>
      </x:c>
      <x:c r="O284" s="20" t="str">
        <x:v>PMID40712877</x:v>
      </x:c>
      <x:c r="P284" s="20" t="str">
        <x:v>silibinin\283-40712877-enhanced antimicrobial and anticance so int j biol macromol 2025 jul 23 321 pt 1 146286 doi 10 1016 j ijbiomac 2025 146286 online ahead of print.pdf</x:v>
      </x:c>
      <x:c r="Q284" s="20" t="str">
        <x:v>Enhanced antimicrobial and anticancer activities of zein protein-agarose@Au composite hydrogel for controlled release of silibinin in colon cancer therapy.</x:v>
      </x:c>
      <x:c r="R284" s="20" t="str">
        <x:v>Included</x:v>
      </x:c>
      <x:c r="S284" s="20" t="str">
        <x:v>2025</x:v>
      </x:c>
      <x:c r="T284" s="20" t="str">
        <x:v>2025/09/01</x:v>
      </x:c>
      <x:c r="U284" s="20" t="str">
        <x:v>silibinin</x:v>
      </x:c>
      <x:c r="V284" s="20" t="str">
        <x:v>水飞蓟（Silybum marianum）种子提取物</x:v>
      </x:c>
      <x:c r="W284" s="20" t="str">
        <x:v>Not established from supplied source field</x:v>
      </x:c>
      <x:c r="X284" s="20" t="str">
        <x:v>Generic botanical, dietary, computational, or unspecified association</x:v>
      </x:c>
      <x:c r="Y284" s="20" t="str">
        <x:v>PMID 40712877; PMID40712877</x:v>
      </x:c>
      <x:c r="Z284" s="20" t="str">
        <x:v>Formulation/nanodelivery contextual evidence</x:v>
      </x:c>
      <x:c r="AA284" s="20" t="str">
        <x:v>Row-level annotation; deduplicate by PMID for final reference-level counts</x:v>
      </x:c>
    </x:row>
    <x:row r="285">
      <x:c r="A285" s="20" t="str">
        <x:v>silibinin</x:v>
      </x:c>
      <x:c r="B285" s="20" t="str">
        <x:v>Flavonoids</x:v>
      </x:c>
      <x:c r="C285" s="20" t="str">
        <x:v>植物提取物水飞蓟素</x:v>
      </x:c>
      <x:c r="D285" s="20" t="str">
        <x:v>体外细胞模型
正常细胞：正常猪小肠上皮细胞系-1 (IPEC-1)
肿瘤细胞：人结肠腺癌上皮细胞系 (CaCo-2)</x:v>
      </x:c>
      <x:c r="E285" s="20" t="str">
        <x:v>In vitro</x:v>
      </x:c>
      <x:c r="F285" s="20" t="str">
        <x:v>not captured in source extraction</x:v>
      </x:c>
      <x:c r="G285" s="20" t="str">
        <x:v>1. 经典 Wnt/β-catenin 信号通路：通过调节该通路发挥化学预防作用。
2. 影响细胞周期、凋亡和细胞存活激酶：通过影响这些过程介导其抗增殖和抗炎效应。</x:v>
      </x:c>
      <x:c r="H285" s="20" t="str">
        <x:v>促进代谢活性和增殖，保护线粒体膜电位，轻微降低促炎细胞因子，显著上调抗炎因子 TGF-β，抑制代谢活性，抑制增殖，诱导细胞周期阻滞（隐含），增加凋亡，显著下调促炎白细胞介素和 TGF-β</x:v>
      </x:c>
      <x:c r="I285" s="20" t="str">
        <x:v>not captured</x:v>
      </x:c>
      <x:c r="J285" s="20" t="str">
        <x:v>not reported</x:v>
      </x:c>
      <x:c r="K285" s="20" t="str">
        <x:v>not reported</x:v>
      </x:c>
      <x:c r="L285" s="20" t="str">
        <x:v>Level 3: cell-based mechanistic evidence</x:v>
      </x:c>
      <x:c r="M285" s="20" t="str">
        <x:v>Apoptosis/cell cycle; Wnt/beta-catenin/stemness; NF-kB/STAT3/inflammation</x:v>
      </x:c>
      <x:c r="N285" s="20" t="str">
        <x:v>36836848</x:v>
      </x:c>
      <x:c r="O285" s="20" t="str">
        <x:v>PMID36836848</x:v>
      </x:c>
      <x:c r="P285" s="20" t="str">
        <x:v>silibinin\284-36836848-silybin showed higher cytotoxic ant source life basel so 2023.pdf</x:v>
      </x:c>
      <x:c r="Q285" s="20" t="str">
        <x:v>Silybin Showed Higher Cytotoxic, Antiproliferative, and Anti-Inflammatory Activities in the CaCo Cancer Cell Line while Retaining Viability and Proliferation in Normal Intestinal IPEC-1 Cells.</x:v>
      </x:c>
      <x:c r="R285" s="20" t="str">
        <x:v>Included</x:v>
      </x:c>
      <x:c r="S285" s="20" t="str">
        <x:v>2023</x:v>
      </x:c>
      <x:c r="T285" s="20" t="str">
        <x:v>2023/02/10</x:v>
      </x:c>
      <x:c r="U285" s="20" t="str">
        <x:v>silibinin</x:v>
      </x:c>
      <x:c r="V285" s="20" t="str">
        <x:v>植物提取物水飞蓟素</x:v>
      </x:c>
      <x:c r="W285" s="20" t="str">
        <x:v>Not established from supplied source field</x:v>
      </x:c>
      <x:c r="X285" s="20" t="str">
        <x:v>Generic botanical, dietary, computational, or unspecified association</x:v>
      </x:c>
      <x:c r="Y285" s="20" t="str">
        <x:v>PMID 36836848; PMID36836848</x:v>
      </x:c>
      <x:c r="Z285" s="20" t="str">
        <x:v>Purified isolated compound: silibinin</x:v>
      </x:c>
      <x:c r="AA285" s="20" t="str">
        <x:v>Row-level annotation; deduplicate by PMID for final reference-level counts</x:v>
      </x:c>
    </x:row>
    <x:row r="286">
      <x:c r="A286" s="20" t="str">
        <x:v>silibinin</x:v>
      </x:c>
      <x:c r="B286" s="20" t="str">
        <x:v>Flavonoids</x:v>
      </x:c>
      <x:c r="C286" s="20" t="str">
        <x:v>水飞蓟 Silybum marianum 的提取物</x:v>
      </x:c>
      <x:c r="D286" s="20" t="str">
        <x:v>癌细胞模型为 HT29 人结肠癌细胞正常细胞模型为 HEK293 人胚肾细胞实验类型为体外细胞实验检测方法包括 MTT 法流式细胞术TEM DLS FTIR 和 VSM</x:v>
      </x:c>
      <x:c r="E286" s="20" t="str">
        <x:v>In vitro</x:v>
      </x:c>
      <x:c r="F286" s="20" t="str">
        <x:v>not captured in source extraction</x:v>
      </x:c>
      <x:c r="G286" s="20" t="str">
        <x:v>干扰细胞周期抑制血管生成侵袭和转移诱导凋亡并通过多种分子事件发挥作用</x:v>
      </x:c>
      <x:c r="H286" s="20" t="str">
        <x:v>Silibininloaded MNNPs 显著增强对 HT29 细胞的细胞毒性使细胞活力下降 5 倍优于纯 silibinin 的 3 倍细胞摄取水平显著提高对 HEK293 正常细胞无明显毒性药物在酸性环境 pH 58 下释放更多显示肿瘤微环境响应性</x:v>
      </x:c>
      <x:c r="I286" s="20" t="str">
        <x:v>not captured</x:v>
      </x:c>
      <x:c r="J286" s="20" t="str">
        <x:v>not reported</x:v>
      </x:c>
      <x:c r="K286" s="20" t="str">
        <x:v>not reported</x:v>
      </x:c>
      <x:c r="L286" s="20" t="str">
        <x:v>Level 3: cell-based mechanistic evidence</x:v>
      </x:c>
      <x:c r="M286" s="20" t="str">
        <x:v>Apoptosis/cell cycle; EMT/ECM/metastasis</x:v>
      </x:c>
      <x:c r="N286" s="20" t="str">
        <x:v>37441534</x:v>
      </x:c>
      <x:c r="O286" s="20" t="str">
        <x:v>PMID37441534</x:v>
      </x:c>
      <x:c r="P286" s="20" t="str">
        <x:v>silibinin\285-37441534-targeted delivery of silibinin via mpharmacol.pdf</x:v>
      </x:c>
      <x:c r="Q286" s="20" t="str">
        <x:v>Targeted delivery of silibinin via magnetic niosomal nanoparticles: potential application in treatment of colon cancer cells.</x:v>
      </x:c>
      <x:c r="R286" s="20" t="str">
        <x:v>Included</x:v>
      </x:c>
      <x:c r="S286" s="20" t="str">
        <x:v>2023</x:v>
      </x:c>
      <x:c r="T286" s="20" t="str">
        <x:v>2023/06/27</x:v>
      </x:c>
      <x:c r="U286" s="20" t="str">
        <x:v>silibinin</x:v>
      </x:c>
      <x:c r="V286" s="20" t="str">
        <x:v>水飞蓟 Silybum marianum 的提取物</x:v>
      </x:c>
      <x:c r="W286" s="20" t="str">
        <x:v>Not established from supplied source field</x:v>
      </x:c>
      <x:c r="X286" s="20" t="str">
        <x:v>Generic botanical, dietary, computational, or unspecified association</x:v>
      </x:c>
      <x:c r="Y286" s="20" t="str">
        <x:v>PMID 37441534; PMID37441534</x:v>
      </x:c>
      <x:c r="Z286" s="20" t="str">
        <x:v>Formulation/nanodelivery contextual evidence</x:v>
      </x:c>
      <x:c r="AA286" s="20" t="str">
        <x:v>Row-level annotation; deduplicate by PMID for final reference-level counts</x:v>
      </x:c>
    </x:row>
    <x:row r="287">
      <x:c r="A287" s="20" t="str">
        <x:v>silibinin</x:v>
      </x:c>
      <x:c r="B287" s="20" t="str">
        <x:v>Flavonoids</x:v>
      </x:c>
      <x:c r="C287" s="20" t="str">
        <x:v>水飞蓟</x:v>
      </x:c>
      <x:c r="D287" s="20" t="str">
        <x:v>体外细胞实验模型，包括人乳腺癌细胞 MCF7、人肺癌细胞 A549、人结肠癌细胞 HT29、人胰腺癌细胞 Panc，以及人脐静脉内皮细胞 Huvec</x:v>
      </x:c>
      <x:c r="E287" s="20" t="str">
        <x:v>In vitro</x:v>
      </x:c>
      <x:c r="F287" s="20" t="str">
        <x:v>not captured in source extraction</x:v>
      </x:c>
      <x:c r="G287" s="20" t="str">
        <x:v>not reported</x:v>
      </x:c>
      <x:c r="H287" s="20" t="str">
        <x:v>显著抑制多种癌细胞活力；选择性诱导癌细胞凋亡；具有强大抗氧化活性（经ABTS和DPPH验证）；BSA组分促进水飞蓟宾和ZnO在肿瘤区域的缓释；叶酸修饰实现靶向递送，增强对癌细胞的选择性杀伤。</x:v>
      </x:c>
      <x:c r="I287" s="20" t="str">
        <x:v>not captured</x:v>
      </x:c>
      <x:c r="J287" s="20" t="str">
        <x:v>在正常细胞（Huvec）中表现出较低毒性，并具有保护正常细胞的潜力</x:v>
      </x:c>
      <x:c r="K287" s="20" t="str">
        <x:v>not reported</x:v>
      </x:c>
      <x:c r="L287" s="20" t="str">
        <x:v>Level 3: cell-based mechanistic evidence</x:v>
      </x:c>
      <x:c r="M287" s="20" t="str">
        <x:v>Apoptosis/cell cycle; ROS/ferroptosis</x:v>
      </x:c>
      <x:c r="N287" s="20" t="str">
        <x:v>38809850</x:v>
      </x:c>
      <x:c r="O287" s="20" t="str">
        <x:v>PMID38809850</x:v>
      </x:c>
      <x:c r="P287" s="20" t="str">
        <x:v>silibinin\286-38809850-the anticancer impact of folate link source j biomater sci polym ed so 2024.pdf</x:v>
      </x:c>
      <x:c r="Q287" s="20" t="str">
        <x:v>The anticancer impact of folate-linked ZnO-decorated bovine serum albumin/silibinin nanoparticles on human pancreatic, breast, lung, and colon cancers.</x:v>
      </x:c>
      <x:c r="R287" s="20" t="str">
        <x:v>Included</x:v>
      </x:c>
      <x:c r="S287" s="20" t="str">
        <x:v>2024</x:v>
      </x:c>
      <x:c r="T287" s="20" t="str">
        <x:v>2024/08/01</x:v>
      </x:c>
      <x:c r="U287" s="20" t="str">
        <x:v>silibinin</x:v>
      </x:c>
      <x:c r="V287" s="20" t="str">
        <x:v>水飞蓟</x:v>
      </x:c>
      <x:c r="W287" s="20" t="str">
        <x:v>Not established from supplied source field</x:v>
      </x:c>
      <x:c r="X287" s="20" t="str">
        <x:v>Generic botanical, dietary, computational, or unspecified association</x:v>
      </x:c>
      <x:c r="Y287" s="20" t="str">
        <x:v>PMID 38809850; PMID38809850</x:v>
      </x:c>
      <x:c r="Z287" s="20" t="str">
        <x:v>Formulation/nanodelivery contextual evidence</x:v>
      </x:c>
      <x:c r="AA287" s="20" t="str">
        <x:v>Row-level annotation; deduplicate by PMID for final reference-level counts</x:v>
      </x:c>
    </x:row>
    <x:row r="288">
      <x:c r="A288" s="20" t="str">
        <x:v>Astragaloside IV</x:v>
      </x:c>
      <x:c r="B288" s="20" t="str">
        <x:v>Triterpenoid saponins</x:v>
      </x:c>
      <x:c r="C288" s="20" t="str">
        <x:v>黄芪</x:v>
      </x:c>
      <x:c r="D288" s="20" t="str">
        <x:v>体外模型包括小鼠结肠癌细胞 MC38 和小鼠巨噬细胞 RAW264.7
体内模型为小鼠脾脏-肝脏转移模型</x:v>
      </x:c>
      <x:c r="E288" s="20" t="str">
        <x:v>In vitro + in vivo</x:v>
      </x:c>
      <x:c r="F288" s="20" t="str">
        <x:v>not captured in source extraction</x:v>
      </x:c>
      <x:c r="G288" s="20" t="str">
        <x:v>下调 nSMase2 和 Rab27a 表达，抑制肿瘤细胞外囊泡（TEVs）的生成与释放；
减少 TEVs 对肿瘤相关巨噬细胞（TAMs）的调控作用；
抑制 TAMs 向 M2 型（促肿瘤）极化，促进向 M1 型（抗肿瘤）转化
重塑肿瘤微环境，间接抑制癌细胞迁移与侵袭</x:v>
      </x:c>
      <x:c r="H288" s="20" t="str">
        <x:v>1. 显著减少结直肠癌细胞释放肿瘤衍生的细胞外囊泡（TEVs）
2. 抑制 nSMase2 和 Rab27a 蛋白表达，阻断 EVs 分泌通路
3. 改变巨噬细胞极化方向：降低 M2 型比例，提高 M1 型比例
4. 抑制癌细胞的迁移和侵袭能力
5. 在小鼠体内显著抑制结直肠癌肝转移
6. 减少肝脏转移灶中 M2 型巨噬细胞的浸润</x:v>
      </x:c>
      <x:c r="I288" s="20" t="str">
        <x:v>not captured</x:v>
      </x:c>
      <x:c r="J288" s="20" t="str">
        <x:v>not reported</x:v>
      </x:c>
      <x:c r="K288" s="20" t="str">
        <x:v>not reported</x:v>
      </x:c>
      <x:c r="L288" s="20" t="str">
        <x:v>Level 1: animal-validated mechanistic evidence</x:v>
      </x:c>
      <x:c r="M288" s="20" t="str">
        <x:v>EMT/ECM/metastasis; Immune microenvironment</x:v>
      </x:c>
      <x:c r="N288" s="20" t="str">
        <x:v>38831823</x:v>
      </x:c>
      <x:c r="O288" s="20" t="str">
        <x:v>PMID38831823</x:v>
      </x:c>
      <x:c r="P288" s="20" t="str">
        <x:v>Astragaloside IV\287-38831823-astragaloside iv inhibits colorectal source heliyon so 2024.pdf</x:v>
      </x:c>
      <x:c r="Q288" s="20" t="str">
        <x:v>Astragaloside IV inhibits colorectal cancer metastasis by reducing extracellular vesicles release and suppressing M2-type TAMs activation.</x:v>
      </x:c>
      <x:c r="R288" s="20" t="str">
        <x:v>Included</x:v>
      </x:c>
      <x:c r="S288" s="20" t="str">
        <x:v>2024</x:v>
      </x:c>
      <x:c r="T288" s="20" t="str">
        <x:v>2024/05/22</x:v>
      </x:c>
      <x:c r="U288" s="20" t="str">
        <x:v>Astragaloside IV</x:v>
      </x:c>
      <x:c r="V288" s="20" t="str">
        <x:v>黄芪</x:v>
      </x:c>
      <x:c r="W288" s="20" t="str">
        <x:v>Yes—directly traceable in supplied records</x:v>
      </x:c>
      <x:c r="X288" s="20" t="str">
        <x:v>Constituent of Huangqi (Astragalus medicinal material)</x:v>
      </x:c>
      <x:c r="Y288" s="20" t="str">
        <x:v>PMID 38831823; PMID38831823</x:v>
      </x:c>
      <x:c r="Z288" s="20" t="str">
        <x:v>Purified isolated compound: Astragaloside IV</x:v>
      </x:c>
      <x:c r="AA288" s="20" t="str">
        <x:v>Row-level annotation; deduplicate by PMID for final reference-level counts</x:v>
      </x:c>
    </x:row>
    <x:row r="289">
      <x:c r="A289" s="20" t="str">
        <x:v>Astragaloside IV</x:v>
      </x:c>
      <x:c r="B289" s="20" t="str">
        <x:v>Triterpenoid saponins</x:v>
      </x:c>
      <x:c r="C289" s="20" t="str">
        <x:v>黄芪</x:v>
      </x:c>
      <x:c r="D289" s="20" t="str">
        <x:v>体外模型：人结直肠癌（CRC）细胞系
体内模型：裸鼠皮下移植瘤模型</x:v>
      </x:c>
      <x:c r="E289" s="20" t="str">
        <x:v>In vitro + in vivo</x:v>
      </x:c>
      <x:c r="F289" s="20" t="str">
        <x:v>not captured in source extraction</x:v>
      </x:c>
      <x:c r="G289" s="20" t="str">
        <x:v>通过调控 circ_0001615/miR-873-5p/LASP1 轴 抑制结直肠癌进展</x:v>
      </x:c>
      <x:c r="H289" s="20" t="str">
        <x:v>抑制结直肠癌细胞增殖、促进细胞凋亡</x:v>
      </x:c>
      <x:c r="I289" s="20" t="str">
        <x:v>not captured</x:v>
      </x:c>
      <x:c r="J289" s="20" t="str">
        <x:v>not reported</x:v>
      </x:c>
      <x:c r="K289" s="20" t="str">
        <x:v>not reported</x:v>
      </x:c>
      <x:c r="L289" s="20" t="str">
        <x:v>Level 1: animal-validated mechanistic evidence</x:v>
      </x:c>
      <x:c r="M289" s="20" t="str">
        <x:v>Apoptosis/cell cycle</x:v>
      </x:c>
      <x:c r="N289" s="20" t="str">
        <x:v>38230773</x:v>
      </x:c>
      <x:c r="O289" s="20" t="str">
        <x:v>PMID38230773</x:v>
      </x:c>
      <x:c r="P289" s="20" t="str">
        <x:v>Astragaloside IV\288-38230773-astragaloside iv regulates circ 0001 source chem biol drug des so 2024.pdf</x:v>
      </x:c>
      <x:c r="Q289" s="20" t="str">
        <x:v>Astragaloside IV regulates circ\_0001615 and miR-873-5p/LASP1 axis to suppress colorectal cancer cell progression.</x:v>
      </x:c>
      <x:c r="R289" s="20" t="str">
        <x:v>Included</x:v>
      </x:c>
      <x:c r="S289" s="20" t="str">
        <x:v>2024</x:v>
      </x:c>
      <x:c r="T289" s="20" t="str">
        <x:v>2024/01/01</x:v>
      </x:c>
      <x:c r="U289" s="20" t="str">
        <x:v>Astragaloside IV</x:v>
      </x:c>
      <x:c r="V289" s="20" t="str">
        <x:v>黄芪</x:v>
      </x:c>
      <x:c r="W289" s="20" t="str">
        <x:v>Yes—directly traceable in supplied records</x:v>
      </x:c>
      <x:c r="X289" s="20" t="str">
        <x:v>Constituent of Huangqi (Astragalus medicinal material)</x:v>
      </x:c>
      <x:c r="Y289" s="20" t="str">
        <x:v>PMID 38230773; PMID38230773</x:v>
      </x:c>
      <x:c r="Z289" s="20" t="str">
        <x:v>Purified isolated compound: Astragaloside IV</x:v>
      </x:c>
      <x:c r="AA289" s="20" t="str">
        <x:v>Row-level annotation; deduplicate by PMID for final reference-level counts</x:v>
      </x:c>
    </x:row>
    <x:row r="290">
      <x:c r="A290" s="20" t="str">
        <x:v>Astragaloside IV</x:v>
      </x:c>
      <x:c r="B290" s="20" t="str">
        <x:v>Triterpenoid saponins</x:v>
      </x:c>
      <x:c r="C290" s="20" t="str">
        <x:v>黄芪</x:v>
      </x:c>
      <x:c r="D290" s="20" t="str">
        <x:v>1 细胞模型：多种结直肠癌细胞系
2 动物模型
小鼠结直肠癌模型</x:v>
      </x:c>
      <x:c r="E290" s="20" t="str">
        <x:v>In vitro + in vivo</x:v>
      </x:c>
      <x:c r="F290" s="20" t="str">
        <x:v>not captured in source extraction</x:v>
      </x:c>
      <x:c r="G290" s="20" t="str">
        <x:v>not reported</x:v>
      </x:c>
      <x:c r="H290" s="20" t="str">
        <x:v>1 抑制癌细胞增殖 suppression of proliferation
2 诱导肿瘤细胞凋亡 inducing tumor cell apoptosis
3 增强免疫功能 increasing immune function
4 逆转或减少药物耐药性 reducing drug resistance</x:v>
      </x:c>
      <x:c r="I290" s="20" t="str">
        <x:v>not captured</x:v>
      </x:c>
      <x:c r="J290" s="20" t="str">
        <x:v>not reported</x:v>
      </x:c>
      <x:c r="K290" s="20" t="str">
        <x:v>not reported</x:v>
      </x:c>
      <x:c r="L290" s="20" t="str">
        <x:v>Contextual review-only</x:v>
      </x:c>
      <x:c r="M290" s="20" t="str">
        <x:v>Apoptosis/cell cycle; Wnt/beta-catenin/stemness; Immune microenvironment</x:v>
      </x:c>
      <x:c r="N290" s="20" t="str">
        <x:v>37793276</x:v>
      </x:c>
      <x:c r="O290" s="20" t="str">
        <x:v>PMID37793276</x:v>
      </x:c>
      <x:c r="P290" s="20" t="str">
        <x:v>Astragaloside IV\37793276-the potential molecular pathways of source biomed pharmacother so 2023.pdf</x:v>
      </x:c>
      <x:c r="Q290" s="20" t="str">
        <x:v>The potential molecular pathways of Astragaloside-IV in colorectal cancer: A systematic review.</x:v>
      </x:c>
      <x:c r="R290" s="20" t="str">
        <x:v>Included</x:v>
      </x:c>
      <x:c r="S290" s="20" t="str">
        <x:v>2023</x:v>
      </x:c>
      <x:c r="T290" s="20" t="str">
        <x:v>2023/11/01</x:v>
      </x:c>
      <x:c r="U290" s="20" t="str">
        <x:v>Astragaloside IV</x:v>
      </x:c>
      <x:c r="V290" s="20" t="str">
        <x:v>黄芪</x:v>
      </x:c>
      <x:c r="W290" s="20" t="str">
        <x:v>Yes—directly traceable in supplied records</x:v>
      </x:c>
      <x:c r="X290" s="20" t="str">
        <x:v>Constituent of Huangqi (Astragalus medicinal material)</x:v>
      </x:c>
      <x:c r="Y290" s="20" t="str">
        <x:v>PMID 37793276; PMID37793276</x:v>
      </x:c>
      <x:c r="Z290" s="20" t="str">
        <x:v>Review/background evidence</x:v>
      </x:c>
      <x:c r="AA290" s="20" t="str">
        <x:v>Row-level annotation; deduplicate by PMID for final reference-level counts</x:v>
      </x:c>
    </x:row>
    <x:row r="291">
      <x:c r="A291" s="20" t="str">
        <x:v>Astragaloside IV</x:v>
      </x:c>
      <x:c r="B291" s="20" t="str">
        <x:v>Triterpenoid saponins</x:v>
      </x:c>
      <x:c r="C291" s="20" t="str">
        <x:v>黄芪</x:v>
      </x:c>
      <x:c r="D291" s="20" t="str">
        <x:v>not reported</x:v>
      </x:c>
      <x:c r="E291" s="20" t="str">
        <x:v>Not specified</x:v>
      </x:c>
      <x:c r="F291" s="20" t="str">
        <x:v>not captured in source extraction</x:v>
      </x:c>
      <x:c r="G291" s="20" t="str">
        <x:v>NF-κB 信号通路
PPARγ 信号通路</x:v>
      </x:c>
      <x:c r="H291" s="20" t="str">
        <x:v>促进 M2 巨噬细胞极化；
减轻黏膜炎症；
修复肠道屏障；
促进 M1 巨噬细胞极化；
抑制肿瘤生长；
诱导肿瘤细胞凋亡；
抑制肿瘤转移；
增强化疗敏感性</x:v>
      </x:c>
      <x:c r="I291" s="20" t="str">
        <x:v>not captured</x:v>
      </x:c>
      <x:c r="J291" s="20" t="str">
        <x:v>not reported</x:v>
      </x:c>
      <x:c r="K291" s="20" t="str">
        <x:v>not reported</x:v>
      </x:c>
      <x:c r="L291" s="20" t="str">
        <x:v>Excluded: insufficient extractable evidence</x:v>
      </x:c>
      <x:c r="M291" s="20" t="str">
        <x:v>Apoptosis/cell cycle; NF-kB/STAT3/inflammation; EMT/ECM/metastasis; Immune microenvironment</x:v>
      </x:c>
      <x:c r="N291" s="20" t="str">
        <x:v>40530759</x:v>
      </x:c>
      <x:c r="O291" s="20" t="str">
        <x:v>PMID40530759</x:v>
      </x:c>
      <x:c r="P291" s="20" t="str">
        <x:v>Astragaloside IV\290-40530759-astragaloside iv a promising drug t source am j chin med so 2025.pdf</x:v>
      </x:c>
      <x:c r="Q291" s="20" t="str">
        <x:v>Astragaloside IV: A Promising Drug to Prevent the Transition from Colitis to Colorectal Cancer.</x:v>
      </x:c>
      <x:c r="R291" s="20" t="str">
        <x:v>Excluded: insufficient extractable evidence</x:v>
      </x:c>
      <x:c r="S291" s="20" t="str">
        <x:v>2025</x:v>
      </x:c>
      <x:c r="T291" s="20" t="str">
        <x:v>2025/01/01</x:v>
      </x:c>
      <x:c r="U291" s="20" t="str">
        <x:v>Astragaloside IV</x:v>
      </x:c>
      <x:c r="V291" s="20" t="str">
        <x:v>黄芪</x:v>
      </x:c>
      <x:c r="W291" s="20" t="str">
        <x:v>Yes—directly traceable in supplied records</x:v>
      </x:c>
      <x:c r="X291" s="20" t="str">
        <x:v>Constituent of Huangqi (Astragalus medicinal material)</x:v>
      </x:c>
      <x:c r="Y291" s="20" t="str">
        <x:v>PMID 40530759; PMID40530759</x:v>
      </x:c>
      <x:c r="Z291" s="20" t="str">
        <x:v>Not assessed for final attribution (excluded record)</x:v>
      </x:c>
      <x:c r="AA291" s="20" t="str">
        <x:v>Row-level annotation; deduplicate by PMID for final reference-level counts</x:v>
      </x:c>
    </x:row>
    <x:row r="292">
      <x:c r="A292" s="20" t="str">
        <x:v>Astragaloside IV</x:v>
      </x:c>
      <x:c r="B292" s="20" t="str">
        <x:v>Triterpenoid saponins</x:v>
      </x:c>
      <x:c r="C292" s="20" t="str">
        <x:v>黄芪</x:v>
      </x:c>
      <x:c r="D292" s="20" t="str">
        <x:v>体外实验</x:v>
      </x:c>
      <x:c r="E292" s="20" t="str">
        <x:v>In vitro</x:v>
      </x:c>
      <x:c r="F292" s="20" t="str">
        <x:v>not captured in source extraction</x:v>
      </x:c>
      <x:c r="G292" s="20" t="str">
        <x:v>PI3K/Akt/mTOR 通路
RAS/RAF/MAPK 通路
Wnt/β-catenin 通路
TGF-β 通路</x:v>
      </x:c>
      <x:c r="H292" s="20" t="str">
        <x:v>1. 抑制肺癌和结直肠癌细胞的异常信号传导
2. 调控细胞增殖、存活、迁移相关通路
3. 发挥抗癌作用</x:v>
      </x:c>
      <x:c r="I292" s="20" t="str">
        <x:v>not captured</x:v>
      </x:c>
      <x:c r="J292" s="20" t="str">
        <x:v>not reported</x:v>
      </x:c>
      <x:c r="K292" s="20" t="str">
        <x:v>not reported</x:v>
      </x:c>
      <x:c r="L292" s="20" t="str">
        <x:v>Level 3: cell-based mechanistic evidence</x:v>
      </x:c>
      <x:c r="M292" s="20" t="str">
        <x:v>PI3K/Akt/mTOR/metabolism; Wnt/beta-catenin/stemness; MAPK/JNK/ERK; EMT/ECM/metastasis</x:v>
      </x:c>
      <x:c r="N292" s="20" t="str">
        <x:v>40149916</x:v>
      </x:c>
      <x:c r="O292" s="20" t="str">
        <x:v>PMID40149916</x:v>
      </x:c>
      <x:c r="P292" s="20" t="str">
        <x:v>Astragaloside IV\291-40149916-interplay between traditional and sc source biomolecules so 2025.pdf</x:v>
      </x:c>
      <x:c r="Q292" s="20" t="str">
        <x:v>Interplay Between Traditional and Scientific Knowledge: Phytoconstituents and Their Roles in Lung and Colorectal Cancer Signaling Pathways.</x:v>
      </x:c>
      <x:c r="R292" s="20" t="str">
        <x:v>Included</x:v>
      </x:c>
      <x:c r="S292" s="20" t="str">
        <x:v>2025</x:v>
      </x:c>
      <x:c r="T292" s="20" t="str">
        <x:v>2025/03/05</x:v>
      </x:c>
      <x:c r="U292" s="20" t="str">
        <x:v>Astragaloside IV</x:v>
      </x:c>
      <x:c r="V292" s="20" t="str">
        <x:v>黄芪</x:v>
      </x:c>
      <x:c r="W292" s="20" t="str">
        <x:v>Yes—directly traceable in supplied records</x:v>
      </x:c>
      <x:c r="X292" s="20" t="str">
        <x:v>Constituent of Huangqi (Astragalus medicinal material)</x:v>
      </x:c>
      <x:c r="Y292" s="20" t="str">
        <x:v>PMID 40149916; PMID40149916</x:v>
      </x:c>
      <x:c r="Z292" s="20" t="str">
        <x:v>Review/background evidence</x:v>
      </x:c>
      <x:c r="AA292" s="20" t="str">
        <x:v>Row-level annotation; deduplicate by PMID for final reference-level counts</x:v>
      </x:c>
    </x:row>
    <x:row r="293">
      <x:c r="A293" s="20" t="str">
        <x:v>Astragaloside IV</x:v>
      </x:c>
      <x:c r="B293" s="20" t="str">
        <x:v>Triterpenoid saponins</x:v>
      </x:c>
      <x:c r="C293" s="20" t="str">
        <x:v>黄芪</x:v>
      </x:c>
      <x:c r="D293" s="20" t="str">
        <x:v>LoVo 和 HCT116;CRC 临床样本;HCT116 异种移植裸鼠、LPS 诱导的 IEC6 细胞;AOM/DSS 诱导的 CAC 大鼠、CT26 细胞;携带 CT26 的小鼠</x:v>
      </x:c>
      <x:c r="E293" s="20" t="str">
        <x:v>In vitro + in vivo</x:v>
      </x:c>
      <x:c r="F293" s="20" t="str">
        <x:v>not captured in source extraction</x:v>
      </x:c>
      <x:c r="G293" s="20" t="str">
        <x:v>PPARγ信号通路</x:v>
      </x:c>
      <x:c r="H293" s="20" t="str">
        <x:v>抑制肿瘤生长、细胞增殖和迁移;诱导细胞凋亡，BAX↑、MMP9↓;调节 circ_0001615 和 miR-873–5p/LASP1 轴活 PPARγ信号通路，Nrf2 和 HO 1↑;抗氧化应激和 DNA 损伤、
抑制细胞增殖和肿瘤生长;诱导巨噬细胞复极化，M2 巨噬细胞↓，M2 巨噬细胞↑;协同 aPD 1 增加 T 细胞浸润</x:v>
      </x:c>
      <x:c r="I293" s="20" t="str">
        <x:v>not captured</x:v>
      </x:c>
      <x:c r="J293" s="20" t="str">
        <x:v>not reported</x:v>
      </x:c>
      <x:c r="K293" s="20" t="str">
        <x:v>not reported</x:v>
      </x:c>
      <x:c r="L293" s="20" t="str">
        <x:v>Contextual review-only</x:v>
      </x:c>
      <x:c r="M293" s="20" t="str">
        <x:v>Apoptosis/cell cycle; ROS/ferroptosis; EMT/ECM/metastasis; Immune microenvironment</x:v>
      </x:c>
      <x:c r="N293" s="20" t="str">
        <x:v>39413615</x:v>
      </x:c>
      <x:c r="O293" s="20" t="str">
        <x:v>PMID39413615</x:v>
      </x:c>
      <x:c r="P293" s="20" t="str">
        <x:v>Astragaloside IV\292-39413615-pharmacological potential of natural source biomed pharmacother so 2024.pdf</x:v>
      </x:c>
      <x:c r="Q293" s="20" t="str">
        <x:v>Pharmacological potential of natural medicine Astragali Radix in treating intestinal diseases.</x:v>
      </x:c>
      <x:c r="R293" s="20" t="str">
        <x:v>Included</x:v>
      </x:c>
      <x:c r="S293" s="20" t="str">
        <x:v>2024</x:v>
      </x:c>
      <x:c r="T293" s="20" t="str">
        <x:v>2024/11/01</x:v>
      </x:c>
      <x:c r="U293" s="20" t="str">
        <x:v>Astragaloside IV</x:v>
      </x:c>
      <x:c r="V293" s="20" t="str">
        <x:v>黄芪</x:v>
      </x:c>
      <x:c r="W293" s="20" t="str">
        <x:v>Yes—directly traceable in supplied records</x:v>
      </x:c>
      <x:c r="X293" s="20" t="str">
        <x:v>Constituent of Huangqi (Astragalus medicinal material)</x:v>
      </x:c>
      <x:c r="Y293" s="20" t="str">
        <x:v>PMID 39413615; PMID39413615</x:v>
      </x:c>
      <x:c r="Z293" s="20" t="str">
        <x:v>Review/background evidence</x:v>
      </x:c>
      <x:c r="AA293" s="20" t="str">
        <x:v>Row-level annotation; deduplicate by PMID for final reference-level counts</x:v>
      </x:c>
    </x:row>
    <x:row r="294">
      <x:c r="A294" s="20" t="str">
        <x:v>Astragaloside IV</x:v>
      </x:c>
      <x:c r="B294" s="20" t="str">
        <x:v>Triterpenoid saponins</x:v>
      </x:c>
      <x:c r="C294" s="20" t="str">
        <x:v>植物</x:v>
      </x:c>
      <x:c r="D294" s="20" t="str">
        <x:v>1 体外细胞实验 如巨噬细胞系与结肠癌细胞共培养
2 动物模型 如小鼠结肠癌移植瘤或自发模型
3 肿瘤微环境研究 涉及免疫细胞 功能调控</x:v>
      </x:c>
      <x:c r="E294" s="20" t="str">
        <x:v>In vitro + in vivo</x:v>
      </x:c>
      <x:c r="F294" s="20" t="str">
        <x:v>not captured in source extraction</x:v>
      </x:c>
      <x:c r="G294" s="20" t="str">
        <x:v>1 抑制 NF κB STAT3 信号通路 从而抑制M2型肿瘤相关巨噬细胞极化
2 抑制 VEGF HIF 1α 介导的血管生成通路
3 下调 PD L1 表达 增强抗肿瘤免疫反应</x:v>
      </x:c>
      <x:c r="H294" s="20" t="str">
        <x:v>1 抑制肿瘤相关巨噬细胞向M2型极化（促肿瘤表型）
2 抑制肿瘤血管生成（抗血管生成）
3 增强抗肿瘤免疫力
4 下调免疫检查点分子PD L1 表达 改善免疫逃逸</x:v>
      </x:c>
      <x:c r="I294" s="20" t="str">
        <x:v>not captured</x:v>
      </x:c>
      <x:c r="J294" s="20" t="str">
        <x:v>not reported</x:v>
      </x:c>
      <x:c r="K294" s="20" t="str">
        <x:v>not reported</x:v>
      </x:c>
      <x:c r="L294" s="20" t="str">
        <x:v>Level 1: animal-validated mechanistic evidence</x:v>
      </x:c>
      <x:c r="M294" s="20" t="str">
        <x:v>NF-kB/STAT3/inflammation; Immune microenvironment</x:v>
      </x:c>
      <x:c r="N294" s="20" t="str">
        <x:v>40873588</x:v>
      </x:c>
      <x:c r="O294" s="20" t="str">
        <x:v>PMID40873588</x:v>
      </x:c>
      <x:c r="P294" s="20" t="str">
        <x:v>Astragaloside IV\293-40873588-tumor associated macrophages in colo source front immunol so 2025.pdf</x:v>
      </x:c>
      <x:c r="Q294" s="20" t="str">
        <x:v>Tumor-associated macrophages in colon cancer immunotherapy: mechanisms, natural product interventions, and microenvironment remodeling.</x:v>
      </x:c>
      <x:c r="R294" s="20" t="str">
        <x:v>Included</x:v>
      </x:c>
      <x:c r="S294" s="20" t="str">
        <x:v>2025</x:v>
      </x:c>
      <x:c r="T294" s="20" t="str">
        <x:v>2025/08/12</x:v>
      </x:c>
      <x:c r="U294" s="20" t="str">
        <x:v>Astragaloside IV</x:v>
      </x:c>
      <x:c r="V294" s="20" t="str">
        <x:v>植物</x:v>
      </x:c>
      <x:c r="W294" s="20" t="str">
        <x:v>Yes—directly traceable in supplied records</x:v>
      </x:c>
      <x:c r="X294" s="20" t="str">
        <x:v>Constituent of Huangqi (Astragalus medicinal material)</x:v>
      </x:c>
      <x:c r="Y294" s="20" t="str">
        <x:v>PMID 40873588; PMID40873588</x:v>
      </x:c>
      <x:c r="Z294" s="20" t="str">
        <x:v>Review/background evidence</x:v>
      </x:c>
      <x:c r="AA294" s="20" t="str">
        <x:v>Row-level annotation; deduplicate by PMID for final reference-level counts</x:v>
      </x:c>
    </x:row>
    <x:row r="295">
      <x:c r="A295" s="20" t="str">
        <x:v>Astragaloside IV</x:v>
      </x:c>
      <x:c r="B295" s="20" t="str">
        <x:v>Triterpenoid saponins</x:v>
      </x:c>
      <x:c r="C295" s="20" t="str">
        <x:v>补中益气汤</x:v>
      </x:c>
      <x:c r="D295" s="20" t="str">
        <x:v>体外实验模型</x:v>
      </x:c>
      <x:c r="E295" s="20" t="str">
        <x:v>In vitro</x:v>
      </x:c>
      <x:c r="F295" s="20" t="str">
        <x:v>not captured in source extraction</x:v>
      </x:c>
      <x:c r="G295" s="20" t="str">
        <x:v>PI3K/AKT/mTOR 信号轴</x:v>
      </x:c>
      <x:c r="H295" s="20" t="str">
        <x:v>抗结直肠癌活性；
影响巨噬细胞极化</x:v>
      </x:c>
      <x:c r="I295" s="20" t="str">
        <x:v>not captured</x:v>
      </x:c>
      <x:c r="J295" s="20" t="str">
        <x:v>not reported</x:v>
      </x:c>
      <x:c r="K295" s="20" t="str">
        <x:v>not reported</x:v>
      </x:c>
      <x:c r="L295" s="20" t="str">
        <x:v>Contextual mixture/formulation evidence</x:v>
      </x:c>
      <x:c r="M295" s="20" t="str">
        <x:v>PI3K/Akt/mTOR/metabolism; Immune microenvironment</x:v>
      </x:c>
      <x:c r="N295" s="20" t="str">
        <x:v>40065054</x:v>
      </x:c>
      <x:c r="O295" s="20" t="str">
        <x:v>PMID40065054</x:v>
      </x:c>
      <x:c r="P295" s="20" t="str">
        <x:v>Astragaloside IV\294-40065054-investigating the pi3k akt mtor axis.pdf</x:v>
      </x:c>
      <x:c r="Q295" s="20" t="str">
        <x:v>Investigating the PI3K/AKT/mTOR axis in Buzhong Yiqi Decoction's anti-colorectal cancer activity.</x:v>
      </x:c>
      <x:c r="R295" s="20" t="str">
        <x:v>Included</x:v>
      </x:c>
      <x:c r="S295" s="20" t="str">
        <x:v>2025</x:v>
      </x:c>
      <x:c r="T295" s="20" t="str">
        <x:v>2025/03/10</x:v>
      </x:c>
      <x:c r="U295" s="20" t="str">
        <x:v>Astragaloside IV</x:v>
      </x:c>
      <x:c r="V295" s="20" t="str">
        <x:v>补中益气汤</x:v>
      </x:c>
      <x:c r="W295" s="20" t="str">
        <x:v>Yes—directly traceable in supplied records</x:v>
      </x:c>
      <x:c r="X295" s="20" t="str">
        <x:v>Constituent of Huangqi (Astragalus medicinal material)</x:v>
      </x:c>
      <x:c r="Y295" s="20" t="str">
        <x:v>PMID 40065054; PMID40065054</x:v>
      </x:c>
      <x:c r="Z295" s="20" t="str">
        <x:v>Extract/formula/decoction contextual evidence</x:v>
      </x:c>
      <x:c r="AA295" s="20" t="str">
        <x:v>Row-level annotation; deduplicate by PMID for final reference-level counts</x:v>
      </x:c>
    </x:row>
    <x:row r="296">
      <x:c r="A296" s="20" t="str">
        <x:v>curdione</x:v>
      </x:c>
      <x:c r="B296" s="20" t="str">
        <x:v>Terpenoids</x:v>
      </x:c>
      <x:c r="C296" s="20" t="str">
        <x:v>莪术</x:v>
      </x:c>
      <x:c r="D296" s="20" t="str">
        <x:v>用 12.5 μM、25 μM 和 50 μM 剂量的姜屈酮处理结直肠癌（CRC）细胞，然后用甲基噻唑基四唑铵（MTT）测量细胞的活性。裸鼠皮下注射不同剂量的Curdione和尾静脉注射奥沙利铂，然后采用苏木精-伊红（HE）染色检查肿瘤组织学</x:v>
      </x:c>
      <x:c r="E296" s="20" t="str">
        <x:v>In vitro + in vivo</x:v>
      </x:c>
      <x:c r="F296" s="20" t="str">
        <x:v>Curdione 12.5, 25, and 50 µM in CRC cells</x:v>
      </x:c>
      <x:c r="G296" s="20" t="str">
        <x:v>促进 CRC 细胞和组织中 METTL14 和 YTHDF2 的表达，降低 SLC7A11、SLC3A2、HOXA13 和谷胱甘肽过氧化物酶 4 的表达</x:v>
      </x:c>
      <x:c r="H296" s="20" t="str">
        <x:v>铁死亡（ROS↑, Fe²⁺↑, LPO↑, GSH↓）、肿瘤坏死、细胞活力下降</x:v>
      </x:c>
      <x:c r="I296" s="20" t="str">
        <x:v>not captured</x:v>
      </x:c>
      <x:c r="J296" s="20" t="str">
        <x:v>not reported</x:v>
      </x:c>
      <x:c r="K296" s="20" t="str">
        <x:v>not reported</x:v>
      </x:c>
      <x:c r="L296" s="20" t="str">
        <x:v>Level 1: animal-validated mechanistic evidence</x:v>
      </x:c>
      <x:c r="M296" s="20" t="str">
        <x:v>ROS/ferroptosis</x:v>
      </x:c>
      <x:c r="N296" s="20" t="str">
        <x:v>37735401</x:v>
      </x:c>
      <x:c r="O296" s="20" t="str">
        <x:v>PMID37735401</x:v>
      </x:c>
      <x:c r="P296" s="20" t="str">
        <x:v>curdione\295-37735401-Curdione induces ferroptosis mediate Chin Med.pdf</x:v>
      </x:c>
      <x:c r="Q296" s="20" t="str">
        <x:v>Curdione induces ferroptosis mediated by m6A methylation via METTL14 and YTHDF2 in colorectal cancer.</x:v>
      </x:c>
      <x:c r="R296" s="20" t="str">
        <x:v>Included</x:v>
      </x:c>
      <x:c r="S296" s="20" t="str">
        <x:v>2023</x:v>
      </x:c>
      <x:c r="T296" s="20" t="str">
        <x:v>2023/09/21</x:v>
      </x:c>
      <x:c r="U296" s="20" t="str">
        <x:v>curdione</x:v>
      </x:c>
      <x:c r="V296" s="20" t="str">
        <x:v>莪术</x:v>
      </x:c>
      <x:c r="W296" s="20" t="str">
        <x:v>Yes—directly traceable in supplied records</x:v>
      </x:c>
      <x:c r="X296" s="20" t="str">
        <x:v>Constituent of Ezhu (Curcumae Rhizoma)</x:v>
      </x:c>
      <x:c r="Y296" s="20" t="str">
        <x:v>PMID 37735401; PMID37735401</x:v>
      </x:c>
      <x:c r="Z296" s="20" t="str">
        <x:v>Purified isolated compound: curdione</x:v>
      </x:c>
      <x:c r="AA296" s="20" t="str">
        <x:v>Row-level annotation; deduplicate by PMID for final reference-level counts</x:v>
      </x:c>
    </x:row>
    <x:row r="297">
      <x:c r="A297" s="20" t="str">
        <x:v>curdione</x:v>
      </x:c>
      <x:c r="B297" s="20" t="str">
        <x:v>Terpenoids</x:v>
      </x:c>
      <x:c r="C297" s="20" t="str">
        <x:v>莪术</x:v>
      </x:c>
      <x:c r="D297" s="20" t="str">
        <x:v>not reported</x:v>
      </x:c>
      <x:c r="E297" s="20" t="str">
        <x:v>Not specified</x:v>
      </x:c>
      <x:c r="F297" s="20" t="str">
        <x:v>not captured in source extraction</x:v>
      </x:c>
      <x:c r="G297" s="20" t="str">
        <x:v>NF-κB、MAPK、PI-3K/AKT 和 GSK-3β信号通路</x:v>
      </x:c>
      <x:c r="H297" s="20" t="str">
        <x:v>与细胞增殖、存活、抗细胞凋亡、侵袭和转移相关的几种信号通路（NF-κB、MAPK、PI-3K/AKT 和 GSK-3β）的抑制</x:v>
      </x:c>
      <x:c r="I297" s="20" t="str">
        <x:v>not captured</x:v>
      </x:c>
      <x:c r="J297" s="20" t="str">
        <x:v>not reported</x:v>
      </x:c>
      <x:c r="K297" s="20" t="str">
        <x:v>not reported</x:v>
      </x:c>
      <x:c r="L297" s="20" t="str">
        <x:v>Excluded: insufficient extractable evidence</x:v>
      </x:c>
      <x:c r="M297" s="20" t="str">
        <x:v>Apoptosis/cell cycle; PI3K/Akt/mTOR/metabolism; NF-kB/STAT3/inflammation; MAPK/JNK/ERK; EMT/ECM/metastasis</x:v>
      </x:c>
      <x:c r="N297" s="20" t="str">
        <x:v>32285707</x:v>
      </x:c>
      <x:c r="O297" s="20" t="str">
        <x:v>PMID32285707</x:v>
      </x:c>
      <x:c r="P297" s="20" t="str">
        <x:v>curdione\296-32285707-Therapeutic Effects of Curcumol in S Source Nutr Cancer SO 2020 Apr 14 1 15.pdf</x:v>
      </x:c>
      <x:c r="Q297" s="20" t="str">
        <x:v>Therapeutic Effects of Curcumol in Several Diseases; An Overview.</x:v>
      </x:c>
      <x:c r="R297" s="20" t="str">
        <x:v>Excluded: no CRC-specific model or outcome extracted</x:v>
      </x:c>
      <x:c r="S297" s="20" t="str">
        <x:v>2021</x:v>
      </x:c>
      <x:c r="T297" s="20" t="str">
        <x:v>2021/01/01</x:v>
      </x:c>
      <x:c r="U297" s="20" t="str">
        <x:v>curdione</x:v>
      </x:c>
      <x:c r="V297" s="20" t="str">
        <x:v>莪术</x:v>
      </x:c>
      <x:c r="W297" s="20" t="str">
        <x:v>Yes—directly traceable in supplied records</x:v>
      </x:c>
      <x:c r="X297" s="20" t="str">
        <x:v>Constituent of Ezhu (Curcumae Rhizoma)</x:v>
      </x:c>
      <x:c r="Y297" s="20" t="str">
        <x:v>PMID 32285707; PMID32285707</x:v>
      </x:c>
      <x:c r="Z297" s="20" t="str">
        <x:v>Not assessed for final attribution (excluded record)</x:v>
      </x:c>
      <x:c r="AA297" s="20" t="str">
        <x:v>Row-level annotation; deduplicate by PMID for final reference-level counts</x:v>
      </x:c>
    </x:row>
    <x:row r="298">
      <x:c r="A298" s="20" t="str">
        <x:v>1,4,6-tri-O-galloyl-β-d-glucopyranose</x:v>
      </x:c>
      <x:c r="B298" s="20" t="str">
        <x:v>Hydrolysable tannins</x:v>
      </x:c>
      <x:c r="C298" s="20" t="str">
        <x:v>地榆（Sanguisorba officinalis）干燥根茎</x:v>
      </x:c>
      <x:c r="D298" s="20" t="str">
        <x:v>体外模型：
人结直肠癌细胞系：HCT116、SW480、DLD-1、HT29
正常结肠上皮细胞：NCM460
体内模型：
裸鼠皮下异种移植瘤模型（HCT116细胞接种）</x:v>
      </x:c>
      <x:c r="E298" s="20" t="str">
        <x:v>In vitro + in vivo</x:v>
      </x:c>
      <x:c r="F298" s="20" t="str">
        <x:v>not captured in source extraction</x:v>
      </x:c>
      <x:c r="G298" s="20" t="str">
        <x:v>Wnt/β-catenin 信号通路</x:v>
      </x:c>
      <x:c r="H298" s="20" t="str">
        <x:v>抑制结直肠癌细胞增殖；
诱导线粒体依赖性凋亡；
阻滞细胞周期于G1期；
抑制体内肿瘤生长；
对正常细胞毒性低</x:v>
      </x:c>
      <x:c r="I298" s="20" t="str">
        <x:v>not captured</x:v>
      </x:c>
      <x:c r="J298" s="20" t="str">
        <x:v>not reported</x:v>
      </x:c>
      <x:c r="K298" s="20" t="str">
        <x:v>not reported</x:v>
      </x:c>
      <x:c r="L298" s="20" t="str">
        <x:v>Level 1: animal-validated mechanistic evidence</x:v>
      </x:c>
      <x:c r="M298" s="20" t="str">
        <x:v>Apoptosis/cell cycle; Wnt/beta-catenin/stemness</x:v>
      </x:c>
      <x:c r="N298" s="20" t="str">
        <x:v>31164916</x:v>
      </x:c>
      <x:c r="O298" s="20" t="str">
        <x:v>PMID31164916</x:v>
      </x:c>
      <x:c r="P298" s="20" t="str">
        <x:v>1,4,6-tri-O-galloyl-β-d-glucopyranose\297-31164916-a tannin compound from sanguisorba officinalis blocks wnt b catenin signaling pathway and induces.pdf</x:v>
      </x:c>
      <x:c r="Q298" s="20" t="str">
        <x:v>A tannin compound from Sanguisorba officinalis blocks Wnt/beta-catenin signaling pathway and induces apoptosis of colorectal cancer cells.</x:v>
      </x:c>
      <x:c r="R298" s="20" t="str">
        <x:v>Included</x:v>
      </x:c>
      <x:c r="S298" s="20" t="str">
        <x:v>2019</x:v>
      </x:c>
      <x:c r="T298" s="20" t="str">
        <x:v>2019/05/31</x:v>
      </x:c>
      <x:c r="U298" s="20" t="str">
        <x:v>1,4,6-tri-O-galloyl-β-d-glucopyranose</x:v>
      </x:c>
      <x:c r="V298" s="20" t="str">
        <x:v>地榆（Sanguisorba officinalis）干燥根茎</x:v>
      </x:c>
      <x:c r="W298" s="20" t="str">
        <x:v>Not established from supplied source field</x:v>
      </x:c>
      <x:c r="X298" s="20" t="str">
        <x:v>Generic botanical, dietary, computational, or unspecified association</x:v>
      </x:c>
      <x:c r="Y298" s="20" t="str">
        <x:v>PMID 31164916; PMID31164916</x:v>
      </x:c>
      <x:c r="Z298" s="20" t="str">
        <x:v>Purified isolated compound: 1,4,6-tri-O-galloyl-β-d-glucopyranose</x:v>
      </x:c>
      <x:c r="AA298" s="20" t="str">
        <x:v>Row-level annotation; deduplicate by PMID for final reference-level counts</x:v>
      </x:c>
    </x:row>
    <x:row r="299">
      <x:c r="A299" s="20" t="str">
        <x:v>Phytosphingosine</x:v>
      </x:c>
      <x:c r="B299" s="20" t="str">
        <x:v>Other natural products</x:v>
      </x:c>
      <x:c r="C299" s="20" t="str">
        <x:v>原位移植型结肠癌小鼠模型</x:v>
      </x:c>
      <x:c r="D299" s="20" t="str">
        <x:v>not reported</x:v>
      </x:c>
      <x:c r="E299" s="20" t="str">
        <x:v>Not specified</x:v>
      </x:c>
      <x:c r="F299" s="20" t="str">
        <x:v>not captured in source extraction</x:v>
      </x:c>
      <x:c r="G299" s="20" t="str">
        <x:v>not reported</x:v>
      </x:c>
      <x:c r="H299" s="20" t="str">
        <x:v>not reported</x:v>
      </x:c>
      <x:c r="I299" s="20" t="str">
        <x:v>not captured</x:v>
      </x:c>
      <x:c r="J299" s="20" t="str">
        <x:v>not reported</x:v>
      </x:c>
      <x:c r="K299" s="20" t="str">
        <x:v>not reported</x:v>
      </x:c>
      <x:c r="L299" s="20" t="str">
        <x:v>Excluded: insufficient extractable evidence</x:v>
      </x:c>
      <x:c r="M299" s="20" t="str">
        <x:v>not assigned</x:v>
      </x:c>
      <x:c r="N299" s="20" t="str">
        <x:v>33129117</x:v>
      </x:c>
      <x:c r="O299" s="20" t="str">
        <x:v>PMID33129117</x:v>
      </x:c>
      <x:c r="P299" s="20" t="str">
        <x:v>not matched</x:v>
      </x:c>
      <x:c r="Q299" s="20" t="str">
        <x:v>Metabonomics study on orthotopic transplantion mice model of colon cancer treated with Astragalus membranaceus-Curcuma wenyujin in different proportions via UPLC-Q-TOF/MS.</x:v>
      </x:c>
      <x:c r="R299" s="20" t="str">
        <x:v>Excluded: no local PDF matched</x:v>
      </x:c>
      <x:c r="S299" s="20" t="str">
        <x:v>2021</x:v>
      </x:c>
      <x:c r="T299" s="20" t="str">
        <x:v>2021/01/30</x:v>
      </x:c>
      <x:c r="U299" s="20" t="str">
        <x:v>Phytosphingosine</x:v>
      </x:c>
      <x:c r="V299" s="20" t="str">
        <x:v>原位移植型结肠癌小鼠模型</x:v>
      </x:c>
      <x:c r="W299" s="20" t="str">
        <x:v>Not established from supplied source field</x:v>
      </x:c>
      <x:c r="X299" s="20" t="str">
        <x:v>Generic botanical, dietary, computational, or unspecified association</x:v>
      </x:c>
      <x:c r="Y299" s="20" t="str">
        <x:v>PMID 33129117; PMID33129117</x:v>
      </x:c>
      <x:c r="Z299" s="20" t="str">
        <x:v>Not assessed for final attribution (excluded record)</x:v>
      </x:c>
      <x:c r="AA299" s="20" t="str">
        <x:v>Row-level annotation; deduplicate by PMID for final reference-level counts</x:v>
      </x:c>
    </x:row>
    <x:row r="300">
      <x:c r="A300" s="20" t="str">
        <x:v>Phytosphingosine</x:v>
      </x:c>
      <x:c r="B300" s="20" t="str">
        <x:v>Other natural products</x:v>
      </x:c>
      <x:c r="C300" s="20" t="str">
        <x:v>not reported</x:v>
      </x:c>
      <x:c r="D300" s="20" t="str">
        <x:v>not reported</x:v>
      </x:c>
      <x:c r="E300" s="20" t="str">
        <x:v>Not specified</x:v>
      </x:c>
      <x:c r="F300" s="20" t="str">
        <x:v>not captured in source extraction</x:v>
      </x:c>
      <x:c r="G300" s="20" t="str">
        <x:v>not reported</x:v>
      </x:c>
      <x:c r="H300" s="20" t="str">
        <x:v>not reported</x:v>
      </x:c>
      <x:c r="I300" s="20" t="str">
        <x:v>not captured</x:v>
      </x:c>
      <x:c r="J300" s="20" t="str">
        <x:v>not reported</x:v>
      </x:c>
      <x:c r="K300" s="20" t="str">
        <x:v>not reported</x:v>
      </x:c>
      <x:c r="L300" s="20" t="str">
        <x:v>Excluded: insufficient extractable evidence</x:v>
      </x:c>
      <x:c r="M300" s="20" t="str">
        <x:v>Wnt/beta-catenin/stemness</x:v>
      </x:c>
      <x:c r="N300" s="20" t="str">
        <x:v>40983245</x:v>
      </x:c>
      <x:c r="O300" s="20" t="str">
        <x:v>PMID40983245</x:v>
      </x:c>
      <x:c r="P300" s="20" t="str">
        <x:v>not matched</x:v>
      </x:c>
      <x:c r="Q300" s="20" t="str">
        <x:v>Phytosphingosine suppresses gastric cancer through SFRP4/beta-catenin axis-mediated Wnt signaling pathway inhibition.</x:v>
      </x:c>
      <x:c r="R300" s="20" t="str">
        <x:v>Excluded: no CRC-specific model or outcome extracted</x:v>
      </x:c>
      <x:c r="S300" s="20" t="str">
        <x:v>2025</x:v>
      </x:c>
      <x:c r="T300" s="20" t="str">
        <x:v>2025/11/01</x:v>
      </x:c>
      <x:c r="U300" s="20" t="str">
        <x:v>Phytosphingosine</x:v>
      </x:c>
      <x:c r="V300" s="20" t="str">
        <x:v>not reported</x:v>
      </x:c>
      <x:c r="W300" s="20" t="str">
        <x:v>Not established from supplied source field</x:v>
      </x:c>
      <x:c r="X300" s="20" t="str">
        <x:v>Generic botanical, dietary, computational, or unspecified association</x:v>
      </x:c>
      <x:c r="Y300" s="20" t="str">
        <x:v>PMID 40983245; PMID40983245</x:v>
      </x:c>
      <x:c r="Z300" s="20" t="str">
        <x:v>Not assessed for final attribution (excluded record)</x:v>
      </x:c>
      <x:c r="AA300" s="20" t="str">
        <x:v>Row-level annotation; deduplicate by PMID for final reference-level counts</x:v>
      </x:c>
    </x:row>
    <x:row r="301">
      <x:c r="A301" s="20" t="str">
        <x:v>wighteone</x:v>
      </x:c>
      <x:c r="B301" s="20" t="str">
        <x:v>Flavonoids</x:v>
      </x:c>
      <x:c r="C301" s="20" t="str">
        <x:v>not reported</x:v>
      </x:c>
      <x:c r="D301" s="20" t="str">
        <x:v>not reported</x:v>
      </x:c>
      <x:c r="E301" s="20" t="str">
        <x:v>Not specified</x:v>
      </x:c>
      <x:c r="F301" s="20" t="str">
        <x:v>not captured in source extraction</x:v>
      </x:c>
      <x:c r="G301" s="20" t="str">
        <x:v>not reported</x:v>
      </x:c>
      <x:c r="H301" s="20" t="str">
        <x:v>not reported</x:v>
      </x:c>
      <x:c r="I301" s="20" t="str">
        <x:v>not captured</x:v>
      </x:c>
      <x:c r="J301" s="20" t="str">
        <x:v>not reported</x:v>
      </x:c>
      <x:c r="K301" s="20" t="str">
        <x:v>not reported</x:v>
      </x:c>
      <x:c r="L301" s="20" t="str">
        <x:v>Excluded: insufficient extractable evidence</x:v>
      </x:c>
      <x:c r="M301" s="20" t="str">
        <x:v>not assigned</x:v>
      </x:c>
      <x:c r="N301" s="20" t="str">
        <x:v>not reported</x:v>
      </x:c>
      <x:c r="O301" s="20" t="str">
        <x:v>not available</x:v>
      </x:c>
      <x:c r="P301" s="20" t="str">
        <x:v>not matched</x:v>
      </x:c>
      <x:c r="Q301" s="20" t="str">
        <x:v>not retained - incomplete bibliographic metadata</x:v>
      </x:c>
      <x:c r="R301" s="20" t="str">
        <x:v>Excluded: no CRC-specific model or outcome extracted</x:v>
      </x:c>
      <x:c r="S301" s="20" t="str"/>
      <x:c r="T301" s="20" t="str"/>
      <x:c r="U301" s="20" t="str">
        <x:v>wighteone</x:v>
      </x:c>
      <x:c r="V301" s="20" t="str">
        <x:v>not reported</x:v>
      </x:c>
      <x:c r="W301" s="20" t="str">
        <x:v>Not established from supplied source field</x:v>
      </x:c>
      <x:c r="X301" s="20" t="str">
        <x:v>Generic botanical, dietary, computational, or unspecified association</x:v>
      </x:c>
      <x:c r="Y301" s="20" t="str">
        <x:v>PMID not reported; not available</x:v>
      </x:c>
      <x:c r="Z301" s="20" t="str">
        <x:v>Not assessed for final attribution (excluded record)</x:v>
      </x:c>
      <x:c r="AA301" s="20" t="str">
        <x:v>Row-level annotation; deduplicate by PMID for final reference-level counts</x:v>
      </x:c>
    </x:row>
    <x:row r="302">
      <x:c r="A302" s="20" t="str">
        <x:v>8-Isopentenyl-kaempferol</x:v>
      </x:c>
      <x:c r="B302" s="20" t="str">
        <x:v>Other natural products</x:v>
      </x:c>
      <x:c r="C302" s="20" t="str">
        <x:v>not reported</x:v>
      </x:c>
      <x:c r="D302" s="20" t="str">
        <x:v>not reported</x:v>
      </x:c>
      <x:c r="E302" s="20" t="str">
        <x:v>Not specified</x:v>
      </x:c>
      <x:c r="F302" s="20" t="str">
        <x:v>not captured in source extraction</x:v>
      </x:c>
      <x:c r="G302" s="20" t="str">
        <x:v>not reported</x:v>
      </x:c>
      <x:c r="H302" s="20" t="str">
        <x:v>not reported</x:v>
      </x:c>
      <x:c r="I302" s="20" t="str">
        <x:v>not captured</x:v>
      </x:c>
      <x:c r="J302" s="20" t="str">
        <x:v>not reported</x:v>
      </x:c>
      <x:c r="K302" s="20" t="str">
        <x:v>not reported</x:v>
      </x:c>
      <x:c r="L302" s="20" t="str">
        <x:v>Excluded: insufficient extractable evidence</x:v>
      </x:c>
      <x:c r="M302" s="20" t="str">
        <x:v>not assigned</x:v>
      </x:c>
      <x:c r="N302" s="20" t="str">
        <x:v>not reported</x:v>
      </x:c>
      <x:c r="O302" s="20" t="str">
        <x:v>not available</x:v>
      </x:c>
      <x:c r="P302" s="20" t="str">
        <x:v>not matched</x:v>
      </x:c>
      <x:c r="Q302" s="20" t="str">
        <x:v>not retained - incomplete bibliographic metadata</x:v>
      </x:c>
      <x:c r="R302" s="20" t="str">
        <x:v>Excluded: no CRC-specific model or outcome extracted</x:v>
      </x:c>
      <x:c r="S302" s="20" t="str"/>
      <x:c r="T302" s="20" t="str"/>
      <x:c r="U302" s="20" t="str">
        <x:v>8-Isopentenyl-kaempferol</x:v>
      </x:c>
      <x:c r="V302" s="20" t="str">
        <x:v>not reported</x:v>
      </x:c>
      <x:c r="W302" s="20" t="str">
        <x:v>Not established from this row alone</x:v>
      </x:c>
      <x:c r="X302" s="20" t="str">
        <x:v>Dietary, generic botanical, or non-specific natural-product source</x:v>
      </x:c>
      <x:c r="Y302" s="20" t="str">
        <x:v>PMID not reported; not available</x:v>
      </x:c>
      <x:c r="Z302" s="20" t="str">
        <x:v>Not assessed for final attribution (excluded record)</x:v>
      </x:c>
      <x:c r="AA302" s="20" t="str">
        <x:v>Row-level annotation; deduplicate by PMID for final reference-level counts</x:v>
      </x:c>
    </x:row>
    <x:row r="303">
      <x:c r="A303" s="20" t="str">
        <x:v>norartocarpetin</x:v>
      </x:c>
      <x:c r="B303" s="20" t="str">
        <x:v>Other natural products</x:v>
      </x:c>
      <x:c r="C303" s="20" t="str">
        <x:v>not reported</x:v>
      </x:c>
      <x:c r="D303" s="20" t="str">
        <x:v>not reported</x:v>
      </x:c>
      <x:c r="E303" s="20" t="str">
        <x:v>Not specified</x:v>
      </x:c>
      <x:c r="F303" s="20" t="str">
        <x:v>not captured in source extraction</x:v>
      </x:c>
      <x:c r="G303" s="20" t="str">
        <x:v>not reported</x:v>
      </x:c>
      <x:c r="H303" s="20" t="str">
        <x:v>not reported</x:v>
      </x:c>
      <x:c r="I303" s="20" t="str">
        <x:v>not captured</x:v>
      </x:c>
      <x:c r="J303" s="20" t="str">
        <x:v>not reported</x:v>
      </x:c>
      <x:c r="K303" s="20" t="str">
        <x:v>not reported</x:v>
      </x:c>
      <x:c r="L303" s="20" t="str">
        <x:v>Excluded: insufficient extractable evidence</x:v>
      </x:c>
      <x:c r="M303" s="20" t="str">
        <x:v>not assigned</x:v>
      </x:c>
      <x:c r="N303" s="20" t="str">
        <x:v>not reported</x:v>
      </x:c>
      <x:c r="O303" s="20" t="str">
        <x:v>not available</x:v>
      </x:c>
      <x:c r="P303" s="20" t="str">
        <x:v>not matched</x:v>
      </x:c>
      <x:c r="Q303" s="20" t="str">
        <x:v>not retained - incomplete bibliographic metadata</x:v>
      </x:c>
      <x:c r="R303" s="20" t="str">
        <x:v>Excluded: no CRC-specific model or outcome extracted</x:v>
      </x:c>
      <x:c r="S303" s="20" t="str"/>
      <x:c r="T303" s="20" t="str"/>
      <x:c r="U303" s="20" t="str">
        <x:v>norartocarpetin</x:v>
      </x:c>
      <x:c r="V303" s="20" t="str">
        <x:v>not reported</x:v>
      </x:c>
      <x:c r="W303" s="20" t="str">
        <x:v>Not established from supplied source field</x:v>
      </x:c>
      <x:c r="X303" s="20" t="str">
        <x:v>Generic botanical, dietary, computational, or unspecified association</x:v>
      </x:c>
      <x:c r="Y303" s="20" t="str">
        <x:v>PMID not reported; not available</x:v>
      </x:c>
      <x:c r="Z303" s="20" t="str">
        <x:v>Not assessed for final attribution (excluded record)</x:v>
      </x:c>
      <x:c r="AA303" s="20" t="str">
        <x:v>Row-level annotation; deduplicate by PMID for final reference-level counts</x:v>
      </x:c>
    </x:row>
    <x:row r="304">
      <x:c r="A304" s="21" t="str">
        <x:v>Carthamidin</x:v>
      </x:c>
      <x:c r="B304" s="21" t="str">
        <x:v>Other natural products</x:v>
      </x:c>
      <x:c r="C304" s="21" t="str">
        <x:v>not reported</x:v>
      </x:c>
      <x:c r="D304" s="21" t="str">
        <x:v>not reported</x:v>
      </x:c>
      <x:c r="E304" s="21" t="str">
        <x:v>Not specified</x:v>
      </x:c>
      <x:c r="F304" s="21" t="str">
        <x:v>not captured in source extraction</x:v>
      </x:c>
      <x:c r="G304" s="21" t="str">
        <x:v>not reported</x:v>
      </x:c>
      <x:c r="H304" s="21" t="str">
        <x:v>not reported</x:v>
      </x:c>
      <x:c r="I304" s="21" t="str">
        <x:v>not captured</x:v>
      </x:c>
      <x:c r="J304" s="21" t="str">
        <x:v>not reported</x:v>
      </x:c>
      <x:c r="K304" s="21" t="str">
        <x:v>not reported</x:v>
      </x:c>
      <x:c r="L304" s="21" t="str">
        <x:v>Excluded: insufficient extractable evidence</x:v>
      </x:c>
      <x:c r="M304" s="21" t="str">
        <x:v>PI3K/Akt/mTOR/metabolism</x:v>
      </x:c>
      <x:c r="N304" s="21" t="str">
        <x:v>39498081</x:v>
      </x:c>
      <x:c r="O304" s="21" t="str">
        <x:v>PMID39498081</x:v>
      </x:c>
      <x:c r="P304" s="21" t="str">
        <x:v>not matched</x:v>
      </x:c>
      <x:c r="Q304" s="21" t="str">
        <x:v>Downregulation of aquaporins and PI3K/AKT and upregulation of PTEN expression induced by the flavone scutellarein in human colon cancer cell lines.</x:v>
      </x:c>
      <x:c r="R304" s="21" t="str">
        <x:v>Excluded: no local PDF matched</x:v>
      </x:c>
      <x:c r="S304" s="21" t="str">
        <x:v>2024</x:v>
      </x:c>
      <x:c r="T304" s="21" t="str">
        <x:v>2024/10/15</x:v>
      </x:c>
      <x:c r="U304" s="21" t="str">
        <x:v>Carthamidin</x:v>
      </x:c>
      <x:c r="V304" s="21" t="str">
        <x:v>not reported</x:v>
      </x:c>
      <x:c r="W304" s="21" t="str">
        <x:v>Not established from supplied source field</x:v>
      </x:c>
      <x:c r="X304" s="21" t="str">
        <x:v>Generic botanical, dietary, computational, or unspecified association</x:v>
      </x:c>
      <x:c r="Y304" s="21" t="str">
        <x:v>PMID 39498081; PMID39498081</x:v>
      </x:c>
      <x:c r="Z304" s="21" t="str">
        <x:v>Not assessed for final attribution (excluded record)</x:v>
      </x:c>
      <x:c r="AA304" s="21" t="str">
        <x:v>Row-level annotation; deduplicate by PMID for final reference-level counts</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2.5" hidden="0" customWidth="1"/>
    <x:col min="2" max="2" width="52.5" hidden="0" customWidth="1"/>
  </x:cols>
  <x:sheetData>
    <x:row r="1">
      <x:c r="A1" s="52" t="str">
        <x:v>Corpus accounting and reproducibility checks</x:v>
      </x:c>
      <x:c r="B1" s="52"/>
    </x:row>
    <x:row r="2">
      <x:c r="A2" s="53"/>
      <x:c r="B2" s="53"/>
    </x:row>
    <x:row r="3">
      <x:c r="A3" s="54" t="str">
        <x:v>Initial row-level records</x:v>
      </x:c>
      <x:c r="B3" s="55" t="n">
        <x:f>ROWS('Evidence extraction'!A2:A304)</x:f>
        <x:v>303</x:v>
      </x:c>
    </x:row>
    <x:row r="4">
      <x:c r="A4" s="56" t="str">
        <x:v>Retained extraction records</x:v>
      </x:c>
      <x:c r="B4" s="57" t="n">
        <x:f>COUNTIF('Evidence extraction'!R2:R304,"Included")</x:f>
        <x:v>217</x:v>
      </x:c>
    </x:row>
    <x:row r="5">
      <x:c r="A5" s="56" t="str">
        <x:v>Excluded records</x:v>
      </x:c>
      <x:c r="B5" s="57" t="n">
        <x:f>B3-B4</x:f>
        <x:v>86</x:v>
      </x:c>
    </x:row>
    <x:row r="6">
      <x:c r="A6" s="56" t="str">
        <x:v>First-pass experimental annotated rows</x:v>
      </x:c>
      <x:c r="B6" s="57" t="n">
        <x:f>COUNTIFS('Evidence extraction'!R2:R304,"Included",'Evidence extraction'!L2:L304,"Level 1: animal-validated mechanistic evidence")+COUNTIFS('Evidence extraction'!R2:R304,"Included",'Evidence extraction'!L2:L304,"Level 2: in vivo evidence")+COUNTIFS('Evidence extraction'!R2:R304,"Included",'Evidence extraction'!L2:L304,"Level 3: cell-based mechanistic evidence")</x:f>
        <x:v>141</x:v>
      </x:c>
    </x:row>
    <x:row r="7">
      <x:c r="A7" s="56" t="str">
        <x:v>Earliest publication year</x:v>
      </x:c>
      <x:c r="B7" s="57" t="n">
        <x:f>MIN('Evidence extraction'!S2:S304)</x:f>
        <x:v>2013</x:v>
      </x:c>
    </x:row>
    <x:row r="8">
      <x:c r="A8" s="56" t="str">
        <x:v>Latest publication year</x:v>
      </x:c>
      <x:c r="B8" s="57" t="n">
        <x:f>MAX('Evidence extraction'!S2:S304)</x:f>
        <x:v>2025</x:v>
      </x:c>
    </x:row>
    <x:row r="9">
      <x:c r="A9" s="58" t="str">
        <x:v>Counting note</x:v>
      </x:c>
      <x:c r="B9" s="59" t="str">
        <x:v>Final totals must be deduplicated by PMID in the reference-level table.</x:v>
      </x:c>
    </x:row>
  </x:sheetData>
  <x:mergeCells>
    <x:mergeCell ref="A1:B1"/>
  </x:mergeCells>
  <x:pageMargins left="0.7" right="0.7" top="0.75" bottom="0.75" header="0.3" footer="0.3"/>
</x:worksheet>
</file>